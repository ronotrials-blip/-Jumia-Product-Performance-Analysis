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dmin\Desktop\LuxDev Analytics\Assignments\"/>
    </mc:Choice>
  </mc:AlternateContent>
  <xr:revisionPtr revIDLastSave="0" documentId="13_ncr:1_{9DE586CB-7622-406B-B0C4-FD4842414BEF}" xr6:coauthVersionLast="47" xr6:coauthVersionMax="47" xr10:uidLastSave="{00000000-0000-0000-0000-000000000000}"/>
  <bookViews>
    <workbookView xWindow="-110" yWindow="-110" windowWidth="19420" windowHeight="10300" firstSheet="3" activeTab="5" xr2:uid="{EBE482E4-4135-4C6B-A271-426F8BE49269}"/>
  </bookViews>
  <sheets>
    <sheet name="Product Category to Rating&amp;Disc" sheetId="2" r:id="rId1"/>
    <sheet name="Percentage Discount Vs Reviews" sheetId="3" r:id="rId2"/>
    <sheet name="Rating Vs No. Of Reviews" sheetId="4" r:id="rId3"/>
    <sheet name="High Vs Low Discount Products" sheetId="6" r:id="rId4"/>
    <sheet name="Excel_jumia_dataset.1" sheetId="1" r:id="rId5"/>
    <sheet name="Dashboard" sheetId="7" r:id="rId6"/>
  </sheets>
  <definedNames>
    <definedName name="Slicer_Discount_Category">#N/A</definedName>
    <definedName name="Slicer_Rating_category">#N/A</definedName>
  </definedNames>
  <calcPr calcId="191029"/>
  <pivotCaches>
    <pivotCache cacheId="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2" i="1" l="1"/>
  <c r="E18" i="1"/>
  <c r="K10" i="1"/>
  <c r="K8" i="1"/>
  <c r="H56" i="1"/>
  <c r="H55" i="1"/>
  <c r="H54" i="1"/>
  <c r="H58" i="1"/>
  <c r="H53" i="1"/>
  <c r="H51" i="1"/>
  <c r="H52" i="1"/>
  <c r="H48" i="1"/>
  <c r="H49" i="1"/>
  <c r="H47" i="1"/>
  <c r="H50" i="1"/>
  <c r="H46" i="1"/>
  <c r="H44" i="1"/>
  <c r="H39" i="1"/>
  <c r="H40" i="1"/>
  <c r="H45" i="1"/>
  <c r="H42" i="1"/>
  <c r="H43" i="1"/>
  <c r="H41" i="1"/>
  <c r="H36" i="1"/>
  <c r="H37" i="1"/>
  <c r="H38" i="1"/>
  <c r="H34" i="1"/>
  <c r="H35" i="1"/>
  <c r="H33" i="1"/>
  <c r="H32" i="1"/>
  <c r="H29" i="1"/>
  <c r="H30" i="1"/>
  <c r="H31" i="1"/>
  <c r="H28" i="1"/>
  <c r="H26" i="1"/>
  <c r="H27" i="1"/>
  <c r="H25" i="1"/>
  <c r="H23" i="1"/>
  <c r="H21" i="1"/>
  <c r="H24" i="1"/>
  <c r="H22" i="1"/>
  <c r="H19" i="1"/>
  <c r="H20" i="1"/>
  <c r="H18" i="1"/>
  <c r="H16" i="1"/>
  <c r="H17" i="1"/>
  <c r="H15" i="1"/>
  <c r="H14" i="1"/>
  <c r="H13" i="1"/>
  <c r="H12" i="1"/>
  <c r="H10" i="1"/>
  <c r="H11" i="1"/>
  <c r="H9" i="1"/>
  <c r="H8" i="1"/>
  <c r="H7" i="1"/>
  <c r="H6" i="1"/>
  <c r="H5" i="1"/>
  <c r="H4" i="1"/>
  <c r="H3" i="1"/>
  <c r="H2" i="1"/>
  <c r="H86" i="1"/>
  <c r="H82" i="1"/>
  <c r="H91" i="1"/>
  <c r="H71" i="1"/>
  <c r="H66" i="1"/>
  <c r="H88" i="1"/>
  <c r="H107" i="1"/>
  <c r="H63" i="1"/>
  <c r="H96" i="1"/>
  <c r="H68" i="1"/>
  <c r="H92" i="1"/>
  <c r="H60" i="1"/>
  <c r="H65" i="1"/>
  <c r="H110" i="1"/>
  <c r="H99" i="1"/>
  <c r="H106" i="1"/>
  <c r="H90" i="1"/>
  <c r="H83" i="1"/>
  <c r="H77" i="1"/>
  <c r="H67" i="1"/>
  <c r="H97" i="1"/>
  <c r="H61" i="1"/>
  <c r="H80" i="1"/>
  <c r="H84" i="1"/>
  <c r="H105" i="1"/>
  <c r="H74" i="1"/>
  <c r="H93" i="1"/>
  <c r="H109" i="1"/>
  <c r="H75" i="1"/>
  <c r="H101" i="1"/>
  <c r="H72" i="1"/>
  <c r="H102" i="1"/>
  <c r="H69" i="1"/>
  <c r="H100" i="1"/>
  <c r="H85" i="1"/>
  <c r="H64" i="1"/>
  <c r="H76" i="1"/>
  <c r="H78" i="1"/>
  <c r="H79" i="1"/>
  <c r="H62" i="1"/>
  <c r="H103" i="1"/>
  <c r="H112" i="1"/>
  <c r="H73" i="1"/>
  <c r="H104" i="1"/>
  <c r="H70" i="1"/>
  <c r="H87" i="1"/>
  <c r="H89" i="1"/>
  <c r="H113" i="1"/>
  <c r="H98" i="1"/>
  <c r="H95" i="1"/>
  <c r="H94" i="1"/>
  <c r="H111" i="1"/>
  <c r="H108" i="1"/>
  <c r="H59" i="1"/>
  <c r="H81" i="1"/>
  <c r="H57" i="1"/>
  <c r="G56" i="1"/>
  <c r="G55" i="1"/>
  <c r="G54" i="1"/>
  <c r="G58" i="1"/>
  <c r="G53" i="1"/>
  <c r="G51" i="1"/>
  <c r="G52" i="1"/>
  <c r="G48" i="1"/>
  <c r="G49" i="1"/>
  <c r="G47" i="1"/>
  <c r="G50" i="1"/>
  <c r="G46" i="1"/>
  <c r="G44" i="1"/>
  <c r="G39" i="1"/>
  <c r="G40" i="1"/>
  <c r="G45" i="1"/>
  <c r="G42" i="1"/>
  <c r="G43" i="1"/>
  <c r="G41" i="1"/>
  <c r="G36" i="1"/>
  <c r="G37" i="1"/>
  <c r="G38" i="1"/>
  <c r="G34" i="1"/>
  <c r="G35" i="1"/>
  <c r="G33" i="1"/>
  <c r="G32" i="1"/>
  <c r="G29" i="1"/>
  <c r="G30" i="1"/>
  <c r="G31" i="1"/>
  <c r="G28" i="1"/>
  <c r="G26" i="1"/>
  <c r="G27" i="1"/>
  <c r="G25" i="1"/>
  <c r="G23" i="1"/>
  <c r="G21" i="1"/>
  <c r="G24" i="1"/>
  <c r="G22" i="1"/>
  <c r="G19" i="1"/>
  <c r="G20" i="1"/>
  <c r="G18" i="1"/>
  <c r="G16" i="1"/>
  <c r="G17" i="1"/>
  <c r="G15" i="1"/>
  <c r="G14" i="1"/>
  <c r="G13" i="1"/>
  <c r="G12" i="1"/>
  <c r="G10" i="1"/>
  <c r="G11" i="1"/>
  <c r="G9" i="1"/>
  <c r="G8" i="1"/>
  <c r="G7" i="1"/>
  <c r="G6" i="1"/>
  <c r="G5" i="1"/>
  <c r="G4" i="1"/>
  <c r="G3" i="1"/>
  <c r="G2" i="1"/>
  <c r="G57" i="1"/>
  <c r="I57" i="1"/>
  <c r="I56" i="1"/>
  <c r="I55" i="1"/>
  <c r="I54" i="1"/>
  <c r="I58" i="1"/>
  <c r="I53" i="1"/>
  <c r="I51" i="1"/>
  <c r="I52" i="1"/>
  <c r="I48" i="1"/>
  <c r="I49" i="1"/>
  <c r="I47" i="1"/>
  <c r="I50" i="1"/>
  <c r="I46" i="1"/>
  <c r="I44" i="1"/>
  <c r="I39" i="1"/>
  <c r="I40" i="1"/>
  <c r="I45" i="1"/>
  <c r="I42" i="1"/>
  <c r="I43" i="1"/>
  <c r="I41" i="1"/>
  <c r="I36" i="1"/>
  <c r="I37" i="1"/>
  <c r="I38" i="1"/>
  <c r="I34" i="1"/>
  <c r="I35" i="1"/>
  <c r="I33" i="1"/>
  <c r="I32" i="1"/>
  <c r="I29" i="1"/>
  <c r="I30" i="1"/>
  <c r="I31" i="1"/>
  <c r="I28" i="1"/>
  <c r="I26" i="1"/>
  <c r="I27" i="1"/>
  <c r="I25" i="1"/>
  <c r="I23" i="1"/>
  <c r="I21" i="1"/>
  <c r="I24" i="1"/>
  <c r="I22" i="1"/>
  <c r="I19" i="1"/>
  <c r="I20" i="1"/>
  <c r="I18" i="1"/>
  <c r="I16" i="1"/>
  <c r="I17" i="1"/>
  <c r="I15" i="1"/>
  <c r="I14" i="1"/>
  <c r="I13" i="1"/>
  <c r="I12" i="1"/>
  <c r="I10" i="1"/>
  <c r="I11" i="1"/>
  <c r="I9" i="1"/>
  <c r="I8" i="1"/>
  <c r="I7" i="1"/>
  <c r="I6" i="1"/>
  <c r="I5" i="1"/>
  <c r="I4" i="1"/>
  <c r="I3" i="1"/>
  <c r="I2" i="1"/>
  <c r="I86" i="1"/>
  <c r="I82" i="1"/>
  <c r="I91" i="1"/>
  <c r="I71" i="1"/>
  <c r="I66" i="1"/>
  <c r="I88" i="1"/>
  <c r="I107" i="1"/>
  <c r="I63" i="1"/>
  <c r="I96" i="1"/>
  <c r="I68" i="1"/>
  <c r="I92" i="1"/>
  <c r="I60" i="1"/>
  <c r="I65" i="1"/>
  <c r="I110" i="1"/>
  <c r="I99" i="1"/>
  <c r="I106" i="1"/>
  <c r="I90" i="1"/>
  <c r="I83" i="1"/>
  <c r="I77" i="1"/>
  <c r="I67" i="1"/>
  <c r="I97" i="1"/>
  <c r="I61" i="1"/>
  <c r="I80" i="1"/>
  <c r="I84" i="1"/>
  <c r="I105" i="1"/>
  <c r="I74" i="1"/>
  <c r="I93" i="1"/>
  <c r="I109" i="1"/>
  <c r="I75" i="1"/>
  <c r="I101" i="1"/>
  <c r="I72" i="1"/>
  <c r="I102" i="1"/>
  <c r="I69" i="1"/>
  <c r="I100" i="1"/>
  <c r="I85" i="1"/>
  <c r="I64" i="1"/>
  <c r="I76" i="1"/>
  <c r="I78" i="1"/>
  <c r="I79" i="1"/>
  <c r="I62" i="1"/>
  <c r="I103" i="1"/>
  <c r="I112" i="1"/>
  <c r="I73" i="1"/>
  <c r="I104" i="1"/>
  <c r="I70" i="1"/>
  <c r="I87" i="1"/>
  <c r="I89" i="1"/>
  <c r="I113" i="1"/>
  <c r="I98" i="1"/>
  <c r="I95" i="1"/>
  <c r="I94" i="1"/>
  <c r="I111" i="1"/>
  <c r="I108" i="1"/>
  <c r="I59" i="1"/>
  <c r="I81" i="1"/>
</calcChain>
</file>

<file path=xl/sharedStrings.xml><?xml version="1.0" encoding="utf-8"?>
<sst xmlns="http://schemas.openxmlformats.org/spreadsheetml/2006/main" count="251" uniqueCount="150">
  <si>
    <t>Product</t>
  </si>
  <si>
    <t>Current price</t>
  </si>
  <si>
    <t>old price</t>
  </si>
  <si>
    <t>Discount</t>
  </si>
  <si>
    <t>Review</t>
  </si>
  <si>
    <t>DIY File Folder, Office Drawer File Holder, Pen Holder, Desktop Storage Rack</t>
  </si>
  <si>
    <t>Memory Foam Neck Pillow Cover, With Pillow Core - 50*30cm</t>
  </si>
  <si>
    <t>Bedroom Simple Floor Hanging Clothes Rack Single Pole Hat Rack - White</t>
  </si>
  <si>
    <t>Household Pineapple Peeler Peeler</t>
  </si>
  <si>
    <t>Konka Healty Electric Kettle, 24-hour Heat Preservation,1.5L,800W, White</t>
  </si>
  <si>
    <t>Wall-mounted Sticker Punch-free Plug Fixer</t>
  </si>
  <si>
    <t>115  Piece Set Of Multifunctional Precision Screwdrivers</t>
  </si>
  <si>
    <t>Desk Foldable Fan Adjustable Fan Strong Wind 3 Gear Usb</t>
  </si>
  <si>
    <t>Anti-Skid Absorbent Insulation Coaster  For Home Office</t>
  </si>
  <si>
    <t>Peacock  Throw Pillow Cushion Case For Home Car</t>
  </si>
  <si>
    <t>Classic Black Cat Cotton Hemp Pillow Case For Home Car</t>
  </si>
  <si>
    <t>1/2/3 Seater Elastic Sofa Cover,Living Room/Home Decor Chair Cover-Grey</t>
  </si>
  <si>
    <t>LASA Aluminum Folding Truck Hand Cart - 68kg Max</t>
  </si>
  <si>
    <t>Portable Home Small Air Humidifier 3-Speed Fan - Green</t>
  </si>
  <si>
    <t>LASA FOLDING TABLE SERVING STAND</t>
  </si>
  <si>
    <t>13 In 1 Home Repair Tools Box Kit Set</t>
  </si>
  <si>
    <t>LED Wall Digital Alarm Clock Study Home 12 / 24H Clock Calendar</t>
  </si>
  <si>
    <t>32PCS Portable Cordless Drill Set With Cyclic Battery Drive -26 Variable Speed</t>
  </si>
  <si>
    <t>Large Lazy Inflatable Sofa Chairs PVC Lounger Seat Bag</t>
  </si>
  <si>
    <t>Wrought Iron Bathroom Shelf Wall Mounted Free Punch Toilet Rack</t>
  </si>
  <si>
    <t>LASA Digital Thermometer And Hydrometer</t>
  </si>
  <si>
    <t>LED Romantic Spaceship Starry Sky Projector,Children's Bedroom Night Light-Blue</t>
  </si>
  <si>
    <t>5 Pieces/set Of Stainless Steel Induction Cooker Pots</t>
  </si>
  <si>
    <t>Artificial Potted Flowers Room Decorative Flowers (2 Pieces)</t>
  </si>
  <si>
    <t>Watercolour Gold Foil Textured Print Pillow Cover</t>
  </si>
  <si>
    <t>7-piece Set Of Storage Bags, Travel Storage Bags, Shoe Bags</t>
  </si>
  <si>
    <t>Weighing Scale Digital Bathroom Body Fat Scale USB-Black</t>
  </si>
  <si>
    <t>LASA 3 Tier Bamboo Shoe Bench Storage Shelf</t>
  </si>
  <si>
    <t>380ML USB Rechargeable Portable Small Blenders And Juicers</t>
  </si>
  <si>
    <t>Electric LED UV Mosquito Killer Lamp, Outdoor/Indoor Fly Killer Trap Light -USB</t>
  </si>
  <si>
    <t>Multifunction Laser Level With Adjustment Tripod</t>
  </si>
  <si>
    <t>Exfoliate And Exfoliate Face Towel - Black</t>
  </si>
  <si>
    <t>LED Eye Protection  Desk Lamp , Study, Reading, USB Fan - Double Pen Holder</t>
  </si>
  <si>
    <t>Mythco 120COB Solar Wall Ligt With Motion Sensor And Remote Control 3 Modes</t>
  </si>
  <si>
    <t>Genebre 115 In 1 Screwdriver Repairing Tool Set For IPhone Cellphone Hand Tool</t>
  </si>
  <si>
    <t>40cm Gold DIY Acrylic Wall Sticker Clock</t>
  </si>
  <si>
    <t>Portable Wardrobe Nonwoven With 3 Hanging Rods And 6 Storage Shelves</t>
  </si>
  <si>
    <t>12 Litre Insulated Lunch Box Grey</t>
  </si>
  <si>
    <t>3PCS Single Head Knitting Crochet Sweater Needle Set</t>
  </si>
  <si>
    <t>12 Litre Black Insulated Lunch Box</t>
  </si>
  <si>
    <t>5-PCS Stainless Steel Cooking Pot Set With Steamed Slices</t>
  </si>
  <si>
    <t>Metal Decorative Hooks Key Hangers Entryway Wall Hooks Towel Hooks - Home</t>
  </si>
  <si>
    <t>Foldable Overbed Table/Desk</t>
  </si>
  <si>
    <t>220V 60W Electric Soldering Iron Kits With Tools, Tips, And Multimeter</t>
  </si>
  <si>
    <t>Intelligent  LED Body Sensor Wireless Lighting Night Light USB</t>
  </si>
  <si>
    <t>VIC Wireless Vacuum Cleaner Dual Use For Home And Car 120W High Power Powerful</t>
  </si>
  <si>
    <t>Agapeon Toothbrush Holder And Toothpaste Dispenser</t>
  </si>
  <si>
    <t>52 Pieces Cake Decorating Tool Set Gift Kit Baking Supplies</t>
  </si>
  <si>
    <t>53Pcs/Set Yarn Knitting Crochet Hooks With Bag - Fortune Cat</t>
  </si>
  <si>
    <t>Portable Mini Cordless Car Vacuum Cleaner - Blue</t>
  </si>
  <si>
    <t>53 Pieces/Set Yarn Knitting Crochet Hooks With Bag - Pansies</t>
  </si>
  <si>
    <t>Punch-free Great Load Bearing Bathroom Storage Rack Wall Shelf-White</t>
  </si>
  <si>
    <t>100 Pcs Crochet Hook Tool Set Knitting Hook Set With Box</t>
  </si>
  <si>
    <t>3D Waterproof EVA Plastic Shower Curtain 1.8*2Mtrs</t>
  </si>
  <si>
    <t>Electronic Digital Display Vernier Caliper</t>
  </si>
  <si>
    <t>137 Pieces Cake Decorating Tool Set Baking Supplies</t>
  </si>
  <si>
    <t>120W Cordless Vacuum Cleaners Handheld Electric Vacuum Cleaner</t>
  </si>
  <si>
    <t>4pcs Bathroom/Kitchen Towel Rack,Roll Paper Holder,Towel Bars,Hook</t>
  </si>
  <si>
    <t>MultiFunctional Storage Rack Multi-layer Bookshelf</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</si>
  <si>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</si>
  <si>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</si>
  <si>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</si>
  <si>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</si>
  <si>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</si>
  <si>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</si>
  <si>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</si>
  <si>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</si>
  <si>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</si>
  <si>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</si>
  <si>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</si>
  <si>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</si>
  <si>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</si>
  <si>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</si>
  <si>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</si>
  <si>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</si>
  <si>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</si>
  <si>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</si>
  <si>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</si>
  <si>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</si>
  <si>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</si>
  <si>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</si>
  <si>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</si>
  <si>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5m Waterproof Spherical LED String Lights Outdoor Ball Chain Lights Party Lighting Decoration Adjustable</t>
  </si>
  <si>
    <t>2 Pairs Cowhide Split Leather Work Gloves.32â„‰ Or Above Welding Gloves</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</si>
  <si>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</si>
  <si>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</si>
  <si>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</si>
  <si>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</si>
  <si>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</si>
  <si>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</si>
  <si>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</si>
  <si>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</si>
  <si>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</si>
  <si>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</si>
  <si>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</si>
  <si>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</si>
  <si>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</si>
  <si>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</si>
  <si>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</si>
  <si>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</si>
  <si>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</si>
  <si>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</si>
  <si>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</si>
  <si>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</si>
  <si>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</si>
  <si>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</si>
  <si>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</si>
  <si>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</si>
  <si>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Black Simple Water Cup Wine Coaster Anti Slip Absorbent</t>
  </si>
  <si>
    <t>Ratings</t>
  </si>
  <si>
    <t>absolute discount amount</t>
  </si>
  <si>
    <t>Rating category</t>
  </si>
  <si>
    <t>Discount Category</t>
  </si>
  <si>
    <t>Average Current Price</t>
  </si>
  <si>
    <t>Average Old Price</t>
  </si>
  <si>
    <t>Average Rating</t>
  </si>
  <si>
    <t>Average Discount</t>
  </si>
  <si>
    <t>MOST EXPensive</t>
  </si>
  <si>
    <t>Least Expensive</t>
  </si>
  <si>
    <t>Row Labels</t>
  </si>
  <si>
    <t>High Discount</t>
  </si>
  <si>
    <t>Low Discount</t>
  </si>
  <si>
    <t>Medium Discount</t>
  </si>
  <si>
    <t>Grand Total</t>
  </si>
  <si>
    <t>Average of Ratings</t>
  </si>
  <si>
    <t>Average of Discount</t>
  </si>
  <si>
    <t>Count of Review</t>
  </si>
  <si>
    <t>0.01-0.11</t>
  </si>
  <si>
    <t>0.11-0.21</t>
  </si>
  <si>
    <t>0.21-0.31</t>
  </si>
  <si>
    <t>0.31-0.41</t>
  </si>
  <si>
    <t>0.41-0.51</t>
  </si>
  <si>
    <t>0.51-0.61</t>
  </si>
  <si>
    <t>0.61-0.71</t>
  </si>
  <si>
    <t>2-3</t>
  </si>
  <si>
    <t>3-4</t>
  </si>
  <si>
    <t>4-5</t>
  </si>
  <si>
    <t>0</t>
  </si>
  <si>
    <t>LEAST RATING</t>
  </si>
  <si>
    <t>HIGHEST RATING</t>
  </si>
  <si>
    <t>HIGHEST DISCOUNTS</t>
  </si>
  <si>
    <t>MOST REVIEWS</t>
  </si>
  <si>
    <t>NA</t>
  </si>
  <si>
    <t>Products in the 41–51% discount range attracted the most reviews (21 of 57), suggesting that high discounts are the strongest driver of customer engagement on Jumia.</t>
  </si>
  <si>
    <t>Higher-rated products (4–5 stars) account for 63% of all reviews, indicating that product quality is a strong predictor of buyer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</si>
</sst>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0" applyNumberFormat="1"/>
    <xf numFmtId="3" fontId="0" fillId="0" borderId="0" xfId="0" applyNumberFormat="1"/>
    <xf numFmtId="0" fontId="0" fillId="0" borderId="10" xfId="0" applyBorder="1"/>
    <xf numFmtId="0" fontId="16" fillId="0" borderId="0" xfId="0" applyFont="1"/>
    <xf numFmtId="10" fontId="0" fillId="0" borderId="0" xfId="0" applyNumberFormat="1"/>
    <xf numFmtId="0" fontId="0" fillId="0" borderId="0" xfId="0" pivotButton="1"/>
    <xf numFmtId="0" fontId="0" fillId="0" borderId="0" xfId="0" applyAlignment="1">
      <alignment horizontal="left"/>
    </xf>
    <xf numFmtId="9" fontId="0" fillId="0" borderId="0" xfId="0" applyNumberFormat="1" applyAlignment="1">
      <alignment horizontal="left"/>
    </xf>
    <xf numFmtId="0" fontId="0" fillId="33" borderId="0" xfId="0" applyFill="1"/>
    <xf numFmtId="0" fontId="18" fillId="0" borderId="0" xfId="0" applyFont="1" applyAlignment="1">
      <alignment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3" formatCode="#,##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[Excel_jumia_dataset.1.xlsx]Product Category to Rating&amp;Disc!PivotTable1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Product Category Vs Rating and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76943355648824"/>
          <c:y val="0.28180336832895886"/>
          <c:w val="0.40671476638107462"/>
          <c:h val="0.6293157626130067"/>
        </c:manualLayout>
      </c:layout>
      <c:barChart>
        <c:barDir val="bar"/>
        <c:grouping val="clustered"/>
        <c:varyColors val="0"/>
        <c:ser>
          <c:idx val="0"/>
          <c:order val="0"/>
          <c:tx>
            <c:strRef>
              <c:f>'Product Category to Rating&amp;Disc'!$B$3</c:f>
              <c:strCache>
                <c:ptCount val="1"/>
                <c:pt idx="0">
                  <c:v>Average of Ratings</c:v>
                </c:pt>
              </c:strCache>
            </c:strRef>
          </c:tx>
          <c:spPr>
            <a:solidFill>
              <a:schemeClr val="accent1"/>
            </a:solidFill>
            <a:ln>
              <a:noFill/>
            </a:ln>
            <a:effectLst/>
          </c:spPr>
          <c:invertIfNegative val="0"/>
          <c:cat>
            <c:strRef>
              <c:f>'Product Category to Rating&amp;Disc'!$A$4:$A$7</c:f>
              <c:strCache>
                <c:ptCount val="3"/>
                <c:pt idx="0">
                  <c:v>High Discount</c:v>
                </c:pt>
                <c:pt idx="1">
                  <c:v>Low Discount</c:v>
                </c:pt>
                <c:pt idx="2">
                  <c:v>Medium Discount</c:v>
                </c:pt>
              </c:strCache>
            </c:strRef>
          </c:cat>
          <c:val>
            <c:numRef>
              <c:f>'Product Category to Rating&amp;Disc'!$B$4:$B$7</c:f>
              <c:numCache>
                <c:formatCode>General</c:formatCode>
                <c:ptCount val="3"/>
                <c:pt idx="0">
                  <c:v>3.6133333333333328</c:v>
                </c:pt>
                <c:pt idx="1">
                  <c:v>3.7250000000000001</c:v>
                </c:pt>
                <c:pt idx="2">
                  <c:v>4.2782608695652176</c:v>
                </c:pt>
              </c:numCache>
            </c:numRef>
          </c:val>
          <c:extLst>
            <c:ext xmlns:c16="http://schemas.microsoft.com/office/drawing/2014/chart" uri="{C3380CC4-5D6E-409C-BE32-E72D297353CC}">
              <c16:uniqueId val="{00000000-87AA-4D1A-A724-CAC2C54FD3D6}"/>
            </c:ext>
          </c:extLst>
        </c:ser>
        <c:ser>
          <c:idx val="1"/>
          <c:order val="1"/>
          <c:tx>
            <c:strRef>
              <c:f>'Product Category to Rating&amp;Disc'!$C$3</c:f>
              <c:strCache>
                <c:ptCount val="1"/>
                <c:pt idx="0">
                  <c:v>Average of Discount</c:v>
                </c:pt>
              </c:strCache>
            </c:strRef>
          </c:tx>
          <c:spPr>
            <a:solidFill>
              <a:schemeClr val="accent2"/>
            </a:solidFill>
            <a:ln>
              <a:noFill/>
            </a:ln>
            <a:effectLst/>
          </c:spPr>
          <c:invertIfNegative val="0"/>
          <c:cat>
            <c:strRef>
              <c:f>'Product Category to Rating&amp;Disc'!$A$4:$A$7</c:f>
              <c:strCache>
                <c:ptCount val="3"/>
                <c:pt idx="0">
                  <c:v>High Discount</c:v>
                </c:pt>
                <c:pt idx="1">
                  <c:v>Low Discount</c:v>
                </c:pt>
                <c:pt idx="2">
                  <c:v>Medium Discount</c:v>
                </c:pt>
              </c:strCache>
            </c:strRef>
          </c:cat>
          <c:val>
            <c:numRef>
              <c:f>'Product Category to Rating&amp;Disc'!$C$4:$C$7</c:f>
              <c:numCache>
                <c:formatCode>0%</c:formatCode>
                <c:ptCount val="3"/>
                <c:pt idx="0">
                  <c:v>0.48338709677419334</c:v>
                </c:pt>
                <c:pt idx="1">
                  <c:v>7.2222222222222243E-2</c:v>
                </c:pt>
                <c:pt idx="2">
                  <c:v>0.31</c:v>
                </c:pt>
              </c:numCache>
            </c:numRef>
          </c:val>
          <c:extLst>
            <c:ext xmlns:c16="http://schemas.microsoft.com/office/drawing/2014/chart" uri="{C3380CC4-5D6E-409C-BE32-E72D297353CC}">
              <c16:uniqueId val="{00000001-87AA-4D1A-A724-CAC2C54FD3D6}"/>
            </c:ext>
          </c:extLst>
        </c:ser>
        <c:dLbls>
          <c:showLegendKey val="0"/>
          <c:showVal val="0"/>
          <c:showCatName val="0"/>
          <c:showSerName val="0"/>
          <c:showPercent val="0"/>
          <c:showBubbleSize val="0"/>
        </c:dLbls>
        <c:gapWidth val="182"/>
        <c:axId val="2134830415"/>
        <c:axId val="2134833775"/>
      </c:barChart>
      <c:catAx>
        <c:axId val="213483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33775"/>
        <c:crosses val="autoZero"/>
        <c:auto val="1"/>
        <c:lblAlgn val="ctr"/>
        <c:lblOffset val="100"/>
        <c:noMultiLvlLbl val="0"/>
      </c:catAx>
      <c:valAx>
        <c:axId val="213483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3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[Excel_jumia_dataset.1.xlsx]Percentage Discount Vs Reviews!PivotTable2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Percentage Discount Vs No. of Reviews</a:t>
            </a:r>
          </a:p>
        </c:rich>
      </c:tx>
      <c:layout>
        <c:manualLayout>
          <c:xMode val="edge"/>
          <c:yMode val="edge"/>
          <c:x val="0.1016248906386701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'Percentage Discount Vs Reviews'!$B$3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1C-41D2-AF79-9ECD57B584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1C-41D2-AF79-9ECD57B584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1C-41D2-AF79-9ECD57B584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1C-41D2-AF79-9ECD57B5848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41C-41D2-AF79-9ECD57B5848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41C-41D2-AF79-9ECD57B5848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41C-41D2-AF79-9ECD57B58483}"/>
              </c:ext>
            </c:extLst>
          </c:dPt>
          <c:cat>
            <c:strRef>
              <c:f>'Percentage Discount Vs Reviews'!$A$4:$A$11</c:f>
              <c:strCache>
                <c:ptCount val="7"/>
                <c:pt idx="0">
                  <c:v>0.01-0.11</c:v>
                </c:pt>
                <c:pt idx="1">
                  <c:v>0.11-0.21</c:v>
                </c:pt>
                <c:pt idx="2">
                  <c:v>0.21-0.31</c:v>
                </c:pt>
                <c:pt idx="3">
                  <c:v>0.31-0.41</c:v>
                </c:pt>
                <c:pt idx="4">
                  <c:v>0.41-0.51</c:v>
                </c:pt>
                <c:pt idx="5">
                  <c:v>0.51-0.61</c:v>
                </c:pt>
                <c:pt idx="6">
                  <c:v>0.61-0.71</c:v>
                </c:pt>
              </c:strCache>
            </c:strRef>
          </c:cat>
          <c:val>
            <c:numRef>
              <c:f>'Percentage Discount Vs Reviews'!$B$4:$B$11</c:f>
              <c:numCache>
                <c:formatCode>General</c:formatCode>
                <c:ptCount val="7"/>
                <c:pt idx="0">
                  <c:v>1</c:v>
                </c:pt>
                <c:pt idx="1">
                  <c:v>4</c:v>
                </c:pt>
                <c:pt idx="2">
                  <c:v>10</c:v>
                </c:pt>
                <c:pt idx="3">
                  <c:v>12</c:v>
                </c:pt>
                <c:pt idx="4">
                  <c:v>21</c:v>
                </c:pt>
                <c:pt idx="5">
                  <c:v>9</c:v>
                </c:pt>
              </c:numCache>
            </c:numRef>
          </c:val>
          <c:extLst>
            <c:ext xmlns:c16="http://schemas.microsoft.com/office/drawing/2014/chart" uri="{C3380CC4-5D6E-409C-BE32-E72D297353CC}">
              <c16:uniqueId val="{00000000-A230-4DA1-A09A-25CBD9161D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[Excel_jumia_dataset.1.xlsx]Rating Vs No. Of Reviews!PivotTable3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Rating Vs No.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Vs No. Of Reviews'!$B$3</c:f>
              <c:strCache>
                <c:ptCount val="1"/>
                <c:pt idx="0">
                  <c:v>Total</c:v>
                </c:pt>
              </c:strCache>
            </c:strRef>
          </c:tx>
          <c:spPr>
            <a:solidFill>
              <a:schemeClr val="accent1"/>
            </a:solidFill>
            <a:ln>
              <a:noFill/>
            </a:ln>
            <a:effectLst/>
          </c:spPr>
          <c:invertIfNegative val="0"/>
          <c:cat>
            <c:strRef>
              <c:f>'Rating Vs No. Of Reviews'!$A$4:$A$8</c:f>
              <c:strCache>
                <c:ptCount val="4"/>
                <c:pt idx="0">
                  <c:v>2-3</c:v>
                </c:pt>
                <c:pt idx="1">
                  <c:v>3-4</c:v>
                </c:pt>
                <c:pt idx="2">
                  <c:v>4-5</c:v>
                </c:pt>
                <c:pt idx="3">
                  <c:v>0</c:v>
                </c:pt>
              </c:strCache>
            </c:strRef>
          </c:cat>
          <c:val>
            <c:numRef>
              <c:f>'Rating Vs No. Of Reviews'!$B$4:$B$8</c:f>
              <c:numCache>
                <c:formatCode>General</c:formatCode>
                <c:ptCount val="4"/>
                <c:pt idx="0">
                  <c:v>12</c:v>
                </c:pt>
                <c:pt idx="1">
                  <c:v>9</c:v>
                </c:pt>
                <c:pt idx="2">
                  <c:v>36</c:v>
                </c:pt>
              </c:numCache>
            </c:numRef>
          </c:val>
          <c:extLst>
            <c:ext xmlns:c16="http://schemas.microsoft.com/office/drawing/2014/chart" uri="{C3380CC4-5D6E-409C-BE32-E72D297353CC}">
              <c16:uniqueId val="{00000000-C532-439F-88FE-8676E44E8B70}"/>
            </c:ext>
          </c:extLst>
        </c:ser>
        <c:dLbls>
          <c:showLegendKey val="0"/>
          <c:showVal val="0"/>
          <c:showCatName val="0"/>
          <c:showSerName val="0"/>
          <c:showPercent val="0"/>
          <c:showBubbleSize val="0"/>
        </c:dLbls>
        <c:gapWidth val="219"/>
        <c:overlap val="-27"/>
        <c:axId val="2134817935"/>
        <c:axId val="2134801615"/>
      </c:barChart>
      <c:catAx>
        <c:axId val="213481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01615"/>
        <c:crosses val="autoZero"/>
        <c:auto val="1"/>
        <c:lblAlgn val="ctr"/>
        <c:lblOffset val="100"/>
        <c:noMultiLvlLbl val="0"/>
      </c:catAx>
      <c:valAx>
        <c:axId val="213480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1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[Excel_jumia_dataset.1.xlsx]High Vs Low Discount Products!PivotTable5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Vs Low Discount</a:t>
            </a:r>
            <a:r>
              <a:rPr lang="en-US"/>
              <a:t>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Vs Low Discount Products'!$B$3</c:f>
              <c:strCache>
                <c:ptCount val="1"/>
                <c:pt idx="0">
                  <c:v>Average of Ratings</c:v>
                </c:pt>
              </c:strCache>
            </c:strRef>
          </c:tx>
          <c:spPr>
            <a:solidFill>
              <a:schemeClr val="accent1"/>
            </a:solidFill>
            <a:ln>
              <a:noFill/>
            </a:ln>
            <a:effectLst/>
          </c:spPr>
          <c:invertIfNegative val="0"/>
          <c:cat>
            <c:strRef>
              <c:f>'High Vs Low Discount Products'!$A$4:$A$7</c:f>
              <c:strCache>
                <c:ptCount val="3"/>
                <c:pt idx="0">
                  <c:v>High Discount</c:v>
                </c:pt>
                <c:pt idx="1">
                  <c:v>Low Discount</c:v>
                </c:pt>
                <c:pt idx="2">
                  <c:v>Medium Discount</c:v>
                </c:pt>
              </c:strCache>
            </c:strRef>
          </c:cat>
          <c:val>
            <c:numRef>
              <c:f>'High Vs Low Discount Products'!$B$4:$B$7</c:f>
              <c:numCache>
                <c:formatCode>General</c:formatCode>
                <c:ptCount val="3"/>
                <c:pt idx="0">
                  <c:v>3.6133333333333328</c:v>
                </c:pt>
                <c:pt idx="1">
                  <c:v>3.7250000000000001</c:v>
                </c:pt>
                <c:pt idx="2">
                  <c:v>4.2782608695652176</c:v>
                </c:pt>
              </c:numCache>
            </c:numRef>
          </c:val>
          <c:extLst>
            <c:ext xmlns:c16="http://schemas.microsoft.com/office/drawing/2014/chart" uri="{C3380CC4-5D6E-409C-BE32-E72D297353CC}">
              <c16:uniqueId val="{00000000-2709-439C-B403-A555008EFE91}"/>
            </c:ext>
          </c:extLst>
        </c:ser>
        <c:ser>
          <c:idx val="1"/>
          <c:order val="1"/>
          <c:tx>
            <c:strRef>
              <c:f>'High Vs Low Discount Products'!$C$3</c:f>
              <c:strCache>
                <c:ptCount val="1"/>
                <c:pt idx="0">
                  <c:v>Count of Review</c:v>
                </c:pt>
              </c:strCache>
            </c:strRef>
          </c:tx>
          <c:spPr>
            <a:solidFill>
              <a:schemeClr val="accent2"/>
            </a:solidFill>
            <a:ln>
              <a:noFill/>
            </a:ln>
            <a:effectLst/>
          </c:spPr>
          <c:invertIfNegative val="0"/>
          <c:cat>
            <c:strRef>
              <c:f>'High Vs Low Discount Products'!$A$4:$A$7</c:f>
              <c:strCache>
                <c:ptCount val="3"/>
                <c:pt idx="0">
                  <c:v>High Discount</c:v>
                </c:pt>
                <c:pt idx="1">
                  <c:v>Low Discount</c:v>
                </c:pt>
                <c:pt idx="2">
                  <c:v>Medium Discount</c:v>
                </c:pt>
              </c:strCache>
            </c:strRef>
          </c:cat>
          <c:val>
            <c:numRef>
              <c:f>'High Vs Low Discount Products'!$C$4:$C$7</c:f>
              <c:numCache>
                <c:formatCode>General</c:formatCode>
                <c:ptCount val="3"/>
                <c:pt idx="0">
                  <c:v>30</c:v>
                </c:pt>
                <c:pt idx="1">
                  <c:v>4</c:v>
                </c:pt>
                <c:pt idx="2">
                  <c:v>23</c:v>
                </c:pt>
              </c:numCache>
            </c:numRef>
          </c:val>
          <c:extLst>
            <c:ext xmlns:c16="http://schemas.microsoft.com/office/drawing/2014/chart" uri="{C3380CC4-5D6E-409C-BE32-E72D297353CC}">
              <c16:uniqueId val="{00000001-2709-439C-B403-A555008EFE91}"/>
            </c:ext>
          </c:extLst>
        </c:ser>
        <c:dLbls>
          <c:showLegendKey val="0"/>
          <c:showVal val="0"/>
          <c:showCatName val="0"/>
          <c:showSerName val="0"/>
          <c:showPercent val="0"/>
          <c:showBubbleSize val="0"/>
        </c:dLbls>
        <c:gapWidth val="219"/>
        <c:overlap val="-27"/>
        <c:axId val="2134809775"/>
        <c:axId val="2134800655"/>
      </c:barChart>
      <c:catAx>
        <c:axId val="213480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00655"/>
        <c:crosses val="autoZero"/>
        <c:auto val="1"/>
        <c:lblAlgn val="ctr"/>
        <c:lblOffset val="100"/>
        <c:noMultiLvlLbl val="0"/>
      </c:catAx>
      <c:valAx>
        <c:axId val="213480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0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 Vs Discount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Excel_jumia_dataset.1!$I$1</c:f>
              <c:strCache>
                <c:ptCount val="1"/>
                <c:pt idx="0">
                  <c:v>absolute discount amount</c:v>
                </c:pt>
              </c:strCache>
            </c:strRef>
          </c:tx>
          <c:spPr>
            <a:ln w="19050" cap="rnd">
              <a:noFill/>
              <a:round/>
            </a:ln>
            <a:effectLst/>
          </c:spPr>
          <c:marker>
            <c:symbol val="circle"/>
            <c:size val="5"/>
            <c:spPr>
              <a:solidFill>
                <a:schemeClr val="accent1"/>
              </a:solidFill>
              <a:ln w="9525">
                <a:solidFill>
                  <a:schemeClr val="accent1"/>
                </a:solidFill>
              </a:ln>
              <a:effectLst/>
            </c:spPr>
          </c:marker>
          <c:xVal>
            <c:numRef>
              <c:f>Excel_jumia_dataset.1!$E$2:$E$113</c:f>
              <c:numCache>
                <c:formatCode>General</c:formatCode>
                <c:ptCount val="112"/>
                <c:pt idx="0">
                  <c:v>69</c:v>
                </c:pt>
                <c:pt idx="1">
                  <c:v>55</c:v>
                </c:pt>
                <c:pt idx="2">
                  <c:v>49</c:v>
                </c:pt>
                <c:pt idx="3">
                  <c:v>44</c:v>
                </c:pt>
                <c:pt idx="4">
                  <c:v>39</c:v>
                </c:pt>
                <c:pt idx="5">
                  <c:v>36</c:v>
                </c:pt>
                <c:pt idx="6">
                  <c:v>32</c:v>
                </c:pt>
                <c:pt idx="7">
                  <c:v>24</c:v>
                </c:pt>
                <c:pt idx="8">
                  <c:v>20</c:v>
                </c:pt>
                <c:pt idx="9">
                  <c:v>20</c:v>
                </c:pt>
                <c:pt idx="10">
                  <c:v>17</c:v>
                </c:pt>
                <c:pt idx="11">
                  <c:v>16</c:v>
                </c:pt>
                <c:pt idx="12">
                  <c:v>15</c:v>
                </c:pt>
                <c:pt idx="13">
                  <c:v>15</c:v>
                </c:pt>
                <c:pt idx="14">
                  <c:v>14</c:v>
                </c:pt>
                <c:pt idx="15">
                  <c:v>14</c:v>
                </c:pt>
                <c:pt idx="16">
                  <c:v>13</c:v>
                </c:pt>
                <c:pt idx="17">
                  <c:v>13</c:v>
                </c:pt>
                <c:pt idx="18">
                  <c:v>13</c:v>
                </c:pt>
                <c:pt idx="19">
                  <c:v>12</c:v>
                </c:pt>
                <c:pt idx="20">
                  <c:v>12</c:v>
                </c:pt>
                <c:pt idx="21">
                  <c:v>12</c:v>
                </c:pt>
                <c:pt idx="22">
                  <c:v>12</c:v>
                </c:pt>
                <c:pt idx="23">
                  <c:v>10</c:v>
                </c:pt>
                <c:pt idx="24">
                  <c:v>9</c:v>
                </c:pt>
                <c:pt idx="25">
                  <c:v>9</c:v>
                </c:pt>
                <c:pt idx="26">
                  <c:v>9</c:v>
                </c:pt>
                <c:pt idx="27">
                  <c:v>7</c:v>
                </c:pt>
                <c:pt idx="28">
                  <c:v>7</c:v>
                </c:pt>
                <c:pt idx="29">
                  <c:v>7</c:v>
                </c:pt>
                <c:pt idx="30">
                  <c:v>7</c:v>
                </c:pt>
                <c:pt idx="31">
                  <c:v>6</c:v>
                </c:pt>
                <c:pt idx="32">
                  <c:v>6</c:v>
                </c:pt>
                <c:pt idx="33">
                  <c:v>6</c:v>
                </c:pt>
                <c:pt idx="34">
                  <c:v>6</c:v>
                </c:pt>
                <c:pt idx="35">
                  <c:v>6</c:v>
                </c:pt>
                <c:pt idx="36">
                  <c:v>6</c:v>
                </c:pt>
                <c:pt idx="37">
                  <c:v>5</c:v>
                </c:pt>
                <c:pt idx="38">
                  <c:v>5</c:v>
                </c:pt>
                <c:pt idx="39">
                  <c:v>5</c:v>
                </c:pt>
                <c:pt idx="40">
                  <c:v>5</c:v>
                </c:pt>
                <c:pt idx="41">
                  <c:v>5</c:v>
                </c:pt>
                <c:pt idx="42">
                  <c:v>5</c:v>
                </c:pt>
                <c:pt idx="43">
                  <c:v>5</c:v>
                </c:pt>
                <c:pt idx="44">
                  <c:v>3</c:v>
                </c:pt>
                <c:pt idx="45">
                  <c:v>2</c:v>
                </c:pt>
                <c:pt idx="46">
                  <c:v>2</c:v>
                </c:pt>
                <c:pt idx="47">
                  <c:v>2</c:v>
                </c:pt>
                <c:pt idx="48">
                  <c:v>2</c:v>
                </c:pt>
                <c:pt idx="49">
                  <c:v>2</c:v>
                </c:pt>
                <c:pt idx="50">
                  <c:v>2</c:v>
                </c:pt>
                <c:pt idx="51">
                  <c:v>1</c:v>
                </c:pt>
                <c:pt idx="52">
                  <c:v>1</c:v>
                </c:pt>
                <c:pt idx="53">
                  <c:v>1</c:v>
                </c:pt>
                <c:pt idx="54">
                  <c:v>1</c:v>
                </c:pt>
                <c:pt idx="55">
                  <c:v>1</c:v>
                </c:pt>
                <c:pt idx="56">
                  <c:v>1</c:v>
                </c:pt>
              </c:numCache>
            </c:numRef>
          </c:xVal>
          <c:yVal>
            <c:numRef>
              <c:f>Excel_jumia_dataset.1!$I$2:$I$113</c:f>
              <c:numCache>
                <c:formatCode>#,##0</c:formatCode>
                <c:ptCount val="112"/>
                <c:pt idx="0">
                  <c:v>428</c:v>
                </c:pt>
                <c:pt idx="1">
                  <c:v>713</c:v>
                </c:pt>
                <c:pt idx="2">
                  <c:v>227</c:v>
                </c:pt>
                <c:pt idx="3">
                  <c:v>968</c:v>
                </c:pt>
                <c:pt idx="4">
                  <c:v>510</c:v>
                </c:pt>
                <c:pt idx="5">
                  <c:v>267</c:v>
                </c:pt>
                <c:pt idx="6">
                  <c:v>719</c:v>
                </c:pt>
                <c:pt idx="7">
                  <c:v>724</c:v>
                </c:pt>
                <c:pt idx="8">
                  <c:v>741</c:v>
                </c:pt>
                <c:pt idx="9">
                  <c:v>710</c:v>
                </c:pt>
                <c:pt idx="10">
                  <c:v>318</c:v>
                </c:pt>
                <c:pt idx="11">
                  <c:v>335</c:v>
                </c:pt>
                <c:pt idx="12">
                  <c:v>355</c:v>
                </c:pt>
                <c:pt idx="13">
                  <c:v>291</c:v>
                </c:pt>
                <c:pt idx="14">
                  <c:v>472</c:v>
                </c:pt>
                <c:pt idx="15">
                  <c:v>500</c:v>
                </c:pt>
                <c:pt idx="16">
                  <c:v>2585</c:v>
                </c:pt>
                <c:pt idx="17">
                  <c:v>42</c:v>
                </c:pt>
                <c:pt idx="18">
                  <c:v>640</c:v>
                </c:pt>
                <c:pt idx="19">
                  <c:v>483</c:v>
                </c:pt>
                <c:pt idx="20">
                  <c:v>510</c:v>
                </c:pt>
                <c:pt idx="21">
                  <c:v>200</c:v>
                </c:pt>
                <c:pt idx="22">
                  <c:v>640</c:v>
                </c:pt>
                <c:pt idx="23">
                  <c:v>528</c:v>
                </c:pt>
                <c:pt idx="24">
                  <c:v>197</c:v>
                </c:pt>
                <c:pt idx="25">
                  <c:v>1670</c:v>
                </c:pt>
                <c:pt idx="26">
                  <c:v>819</c:v>
                </c:pt>
                <c:pt idx="27">
                  <c:v>2452</c:v>
                </c:pt>
                <c:pt idx="28">
                  <c:v>1000</c:v>
                </c:pt>
                <c:pt idx="29">
                  <c:v>1418</c:v>
                </c:pt>
                <c:pt idx="30">
                  <c:v>919</c:v>
                </c:pt>
                <c:pt idx="31">
                  <c:v>846</c:v>
                </c:pt>
                <c:pt idx="32">
                  <c:v>824</c:v>
                </c:pt>
                <c:pt idx="33">
                  <c:v>257</c:v>
                </c:pt>
                <c:pt idx="34">
                  <c:v>359</c:v>
                </c:pt>
                <c:pt idx="35">
                  <c:v>470</c:v>
                </c:pt>
                <c:pt idx="36">
                  <c:v>330</c:v>
                </c:pt>
                <c:pt idx="37">
                  <c:v>1526</c:v>
                </c:pt>
                <c:pt idx="38">
                  <c:v>1329</c:v>
                </c:pt>
                <c:pt idx="39">
                  <c:v>390</c:v>
                </c:pt>
                <c:pt idx="40">
                  <c:v>2393</c:v>
                </c:pt>
                <c:pt idx="41">
                  <c:v>940</c:v>
                </c:pt>
                <c:pt idx="42">
                  <c:v>616</c:v>
                </c:pt>
                <c:pt idx="43">
                  <c:v>700</c:v>
                </c:pt>
                <c:pt idx="44">
                  <c:v>1946</c:v>
                </c:pt>
                <c:pt idx="45">
                  <c:v>189</c:v>
                </c:pt>
                <c:pt idx="46">
                  <c:v>352</c:v>
                </c:pt>
                <c:pt idx="47">
                  <c:v>165</c:v>
                </c:pt>
                <c:pt idx="48">
                  <c:v>900</c:v>
                </c:pt>
                <c:pt idx="49">
                  <c:v>575</c:v>
                </c:pt>
                <c:pt idx="50">
                  <c:v>592</c:v>
                </c:pt>
                <c:pt idx="51">
                  <c:v>450</c:v>
                </c:pt>
                <c:pt idx="52">
                  <c:v>317</c:v>
                </c:pt>
                <c:pt idx="53">
                  <c:v>941</c:v>
                </c:pt>
                <c:pt idx="54">
                  <c:v>1010</c:v>
                </c:pt>
                <c:pt idx="55">
                  <c:v>1070</c:v>
                </c:pt>
                <c:pt idx="56">
                  <c:v>948</c:v>
                </c:pt>
                <c:pt idx="57">
                  <c:v>354</c:v>
                </c:pt>
                <c:pt idx="58">
                  <c:v>305</c:v>
                </c:pt>
                <c:pt idx="59">
                  <c:v>497</c:v>
                </c:pt>
                <c:pt idx="60">
                  <c:v>1200</c:v>
                </c:pt>
                <c:pt idx="61">
                  <c:v>1001</c:v>
                </c:pt>
                <c:pt idx="62">
                  <c:v>850</c:v>
                </c:pt>
                <c:pt idx="63">
                  <c:v>301</c:v>
                </c:pt>
                <c:pt idx="64">
                  <c:v>238</c:v>
                </c:pt>
                <c:pt idx="65">
                  <c:v>768</c:v>
                </c:pt>
                <c:pt idx="66">
                  <c:v>645</c:v>
                </c:pt>
                <c:pt idx="67">
                  <c:v>631</c:v>
                </c:pt>
                <c:pt idx="68">
                  <c:v>504</c:v>
                </c:pt>
                <c:pt idx="69">
                  <c:v>456</c:v>
                </c:pt>
                <c:pt idx="70">
                  <c:v>263</c:v>
                </c:pt>
                <c:pt idx="71">
                  <c:v>238</c:v>
                </c:pt>
                <c:pt idx="72">
                  <c:v>220</c:v>
                </c:pt>
                <c:pt idx="73">
                  <c:v>169</c:v>
                </c:pt>
                <c:pt idx="74">
                  <c:v>1200</c:v>
                </c:pt>
                <c:pt idx="75">
                  <c:v>644</c:v>
                </c:pt>
                <c:pt idx="76">
                  <c:v>95</c:v>
                </c:pt>
                <c:pt idx="77">
                  <c:v>800</c:v>
                </c:pt>
                <c:pt idx="78">
                  <c:v>695</c:v>
                </c:pt>
                <c:pt idx="79">
                  <c:v>151</c:v>
                </c:pt>
                <c:pt idx="80">
                  <c:v>1880</c:v>
                </c:pt>
                <c:pt idx="81">
                  <c:v>401</c:v>
                </c:pt>
                <c:pt idx="82">
                  <c:v>510</c:v>
                </c:pt>
                <c:pt idx="83">
                  <c:v>470</c:v>
                </c:pt>
                <c:pt idx="84">
                  <c:v>1360</c:v>
                </c:pt>
                <c:pt idx="85">
                  <c:v>794</c:v>
                </c:pt>
                <c:pt idx="86">
                  <c:v>450</c:v>
                </c:pt>
                <c:pt idx="87">
                  <c:v>1000</c:v>
                </c:pt>
                <c:pt idx="88">
                  <c:v>544</c:v>
                </c:pt>
                <c:pt idx="89">
                  <c:v>1721</c:v>
                </c:pt>
                <c:pt idx="90">
                  <c:v>750</c:v>
                </c:pt>
                <c:pt idx="91">
                  <c:v>830</c:v>
                </c:pt>
                <c:pt idx="92">
                  <c:v>620</c:v>
                </c:pt>
                <c:pt idx="93">
                  <c:v>587</c:v>
                </c:pt>
                <c:pt idx="94">
                  <c:v>595</c:v>
                </c:pt>
                <c:pt idx="95">
                  <c:v>1011</c:v>
                </c:pt>
                <c:pt idx="96">
                  <c:v>62</c:v>
                </c:pt>
                <c:pt idx="97">
                  <c:v>85</c:v>
                </c:pt>
                <c:pt idx="98">
                  <c:v>231</c:v>
                </c:pt>
                <c:pt idx="99">
                  <c:v>233</c:v>
                </c:pt>
                <c:pt idx="100">
                  <c:v>101</c:v>
                </c:pt>
                <c:pt idx="101">
                  <c:v>134</c:v>
                </c:pt>
                <c:pt idx="102">
                  <c:v>153</c:v>
                </c:pt>
                <c:pt idx="103">
                  <c:v>67</c:v>
                </c:pt>
                <c:pt idx="104">
                  <c:v>40</c:v>
                </c:pt>
                <c:pt idx="105">
                  <c:v>37</c:v>
                </c:pt>
                <c:pt idx="106">
                  <c:v>31</c:v>
                </c:pt>
                <c:pt idx="107">
                  <c:v>33</c:v>
                </c:pt>
                <c:pt idx="108">
                  <c:v>39</c:v>
                </c:pt>
                <c:pt idx="109">
                  <c:v>41</c:v>
                </c:pt>
                <c:pt idx="110">
                  <c:v>37</c:v>
                </c:pt>
                <c:pt idx="111">
                  <c:v>24</c:v>
                </c:pt>
              </c:numCache>
            </c:numRef>
          </c:yVal>
          <c:smooth val="0"/>
          <c:extLst>
            <c:ext xmlns:c16="http://schemas.microsoft.com/office/drawing/2014/chart" uri="{C3380CC4-5D6E-409C-BE32-E72D297353CC}">
              <c16:uniqueId val="{00000000-1426-4B61-A226-A02EA6FCE0E8}"/>
            </c:ext>
          </c:extLst>
        </c:ser>
        <c:dLbls>
          <c:showLegendKey val="0"/>
          <c:showVal val="0"/>
          <c:showCatName val="0"/>
          <c:showSerName val="0"/>
          <c:showPercent val="0"/>
          <c:showBubbleSize val="0"/>
        </c:dLbls>
        <c:axId val="2040607647"/>
        <c:axId val="2040622047"/>
      </c:scatterChart>
      <c:valAx>
        <c:axId val="2040607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622047"/>
        <c:crosses val="autoZero"/>
        <c:crossBetween val="midCat"/>
      </c:valAx>
      <c:valAx>
        <c:axId val="20406220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607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 Vs Discount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Excel_jumia_dataset.1!$I$1</c:f>
              <c:strCache>
                <c:ptCount val="1"/>
                <c:pt idx="0">
                  <c:v>absolute discount amount</c:v>
                </c:pt>
              </c:strCache>
            </c:strRef>
          </c:tx>
          <c:spPr>
            <a:ln w="19050" cap="rnd">
              <a:noFill/>
              <a:round/>
            </a:ln>
            <a:effectLst/>
          </c:spPr>
          <c:marker>
            <c:symbol val="circle"/>
            <c:size val="5"/>
            <c:spPr>
              <a:solidFill>
                <a:schemeClr val="accent1"/>
              </a:solidFill>
              <a:ln w="9525">
                <a:solidFill>
                  <a:schemeClr val="accent1"/>
                </a:solidFill>
              </a:ln>
              <a:effectLst/>
            </c:spPr>
          </c:marker>
          <c:xVal>
            <c:numRef>
              <c:f>Excel_jumia_dataset.1!$E$2:$E$113</c:f>
              <c:numCache>
                <c:formatCode>General</c:formatCode>
                <c:ptCount val="112"/>
                <c:pt idx="0">
                  <c:v>69</c:v>
                </c:pt>
                <c:pt idx="1">
                  <c:v>55</c:v>
                </c:pt>
                <c:pt idx="2">
                  <c:v>49</c:v>
                </c:pt>
                <c:pt idx="3">
                  <c:v>44</c:v>
                </c:pt>
                <c:pt idx="4">
                  <c:v>39</c:v>
                </c:pt>
                <c:pt idx="5">
                  <c:v>36</c:v>
                </c:pt>
                <c:pt idx="6">
                  <c:v>32</c:v>
                </c:pt>
                <c:pt idx="7">
                  <c:v>24</c:v>
                </c:pt>
                <c:pt idx="8">
                  <c:v>20</c:v>
                </c:pt>
                <c:pt idx="9">
                  <c:v>20</c:v>
                </c:pt>
                <c:pt idx="10">
                  <c:v>17</c:v>
                </c:pt>
                <c:pt idx="11">
                  <c:v>16</c:v>
                </c:pt>
                <c:pt idx="12">
                  <c:v>15</c:v>
                </c:pt>
                <c:pt idx="13">
                  <c:v>15</c:v>
                </c:pt>
                <c:pt idx="14">
                  <c:v>14</c:v>
                </c:pt>
                <c:pt idx="15">
                  <c:v>14</c:v>
                </c:pt>
                <c:pt idx="16">
                  <c:v>13</c:v>
                </c:pt>
                <c:pt idx="17">
                  <c:v>13</c:v>
                </c:pt>
                <c:pt idx="18">
                  <c:v>13</c:v>
                </c:pt>
                <c:pt idx="19">
                  <c:v>12</c:v>
                </c:pt>
                <c:pt idx="20">
                  <c:v>12</c:v>
                </c:pt>
                <c:pt idx="21">
                  <c:v>12</c:v>
                </c:pt>
                <c:pt idx="22">
                  <c:v>12</c:v>
                </c:pt>
                <c:pt idx="23">
                  <c:v>10</c:v>
                </c:pt>
                <c:pt idx="24">
                  <c:v>9</c:v>
                </c:pt>
                <c:pt idx="25">
                  <c:v>9</c:v>
                </c:pt>
                <c:pt idx="26">
                  <c:v>9</c:v>
                </c:pt>
                <c:pt idx="27">
                  <c:v>7</c:v>
                </c:pt>
                <c:pt idx="28">
                  <c:v>7</c:v>
                </c:pt>
                <c:pt idx="29">
                  <c:v>7</c:v>
                </c:pt>
                <c:pt idx="30">
                  <c:v>7</c:v>
                </c:pt>
                <c:pt idx="31">
                  <c:v>6</c:v>
                </c:pt>
                <c:pt idx="32">
                  <c:v>6</c:v>
                </c:pt>
                <c:pt idx="33">
                  <c:v>6</c:v>
                </c:pt>
                <c:pt idx="34">
                  <c:v>6</c:v>
                </c:pt>
                <c:pt idx="35">
                  <c:v>6</c:v>
                </c:pt>
                <c:pt idx="36">
                  <c:v>6</c:v>
                </c:pt>
                <c:pt idx="37">
                  <c:v>5</c:v>
                </c:pt>
                <c:pt idx="38">
                  <c:v>5</c:v>
                </c:pt>
                <c:pt idx="39">
                  <c:v>5</c:v>
                </c:pt>
                <c:pt idx="40">
                  <c:v>5</c:v>
                </c:pt>
                <c:pt idx="41">
                  <c:v>5</c:v>
                </c:pt>
                <c:pt idx="42">
                  <c:v>5</c:v>
                </c:pt>
                <c:pt idx="43">
                  <c:v>5</c:v>
                </c:pt>
                <c:pt idx="44">
                  <c:v>3</c:v>
                </c:pt>
                <c:pt idx="45">
                  <c:v>2</c:v>
                </c:pt>
                <c:pt idx="46">
                  <c:v>2</c:v>
                </c:pt>
                <c:pt idx="47">
                  <c:v>2</c:v>
                </c:pt>
                <c:pt idx="48">
                  <c:v>2</c:v>
                </c:pt>
                <c:pt idx="49">
                  <c:v>2</c:v>
                </c:pt>
                <c:pt idx="50">
                  <c:v>2</c:v>
                </c:pt>
                <c:pt idx="51">
                  <c:v>1</c:v>
                </c:pt>
                <c:pt idx="52">
                  <c:v>1</c:v>
                </c:pt>
                <c:pt idx="53">
                  <c:v>1</c:v>
                </c:pt>
                <c:pt idx="54">
                  <c:v>1</c:v>
                </c:pt>
                <c:pt idx="55">
                  <c:v>1</c:v>
                </c:pt>
                <c:pt idx="56">
                  <c:v>1</c:v>
                </c:pt>
              </c:numCache>
            </c:numRef>
          </c:xVal>
          <c:yVal>
            <c:numRef>
              <c:f>Excel_jumia_dataset.1!$I$2:$I$113</c:f>
              <c:numCache>
                <c:formatCode>#,##0</c:formatCode>
                <c:ptCount val="112"/>
                <c:pt idx="0">
                  <c:v>428</c:v>
                </c:pt>
                <c:pt idx="1">
                  <c:v>713</c:v>
                </c:pt>
                <c:pt idx="2">
                  <c:v>227</c:v>
                </c:pt>
                <c:pt idx="3">
                  <c:v>968</c:v>
                </c:pt>
                <c:pt idx="4">
                  <c:v>510</c:v>
                </c:pt>
                <c:pt idx="5">
                  <c:v>267</c:v>
                </c:pt>
                <c:pt idx="6">
                  <c:v>719</c:v>
                </c:pt>
                <c:pt idx="7">
                  <c:v>724</c:v>
                </c:pt>
                <c:pt idx="8">
                  <c:v>741</c:v>
                </c:pt>
                <c:pt idx="9">
                  <c:v>710</c:v>
                </c:pt>
                <c:pt idx="10">
                  <c:v>318</c:v>
                </c:pt>
                <c:pt idx="11">
                  <c:v>335</c:v>
                </c:pt>
                <c:pt idx="12">
                  <c:v>355</c:v>
                </c:pt>
                <c:pt idx="13">
                  <c:v>291</c:v>
                </c:pt>
                <c:pt idx="14">
                  <c:v>472</c:v>
                </c:pt>
                <c:pt idx="15">
                  <c:v>500</c:v>
                </c:pt>
                <c:pt idx="16">
                  <c:v>2585</c:v>
                </c:pt>
                <c:pt idx="17">
                  <c:v>42</c:v>
                </c:pt>
                <c:pt idx="18">
                  <c:v>640</c:v>
                </c:pt>
                <c:pt idx="19">
                  <c:v>483</c:v>
                </c:pt>
                <c:pt idx="20">
                  <c:v>510</c:v>
                </c:pt>
                <c:pt idx="21">
                  <c:v>200</c:v>
                </c:pt>
                <c:pt idx="22">
                  <c:v>640</c:v>
                </c:pt>
                <c:pt idx="23">
                  <c:v>528</c:v>
                </c:pt>
                <c:pt idx="24">
                  <c:v>197</c:v>
                </c:pt>
                <c:pt idx="25">
                  <c:v>1670</c:v>
                </c:pt>
                <c:pt idx="26">
                  <c:v>819</c:v>
                </c:pt>
                <c:pt idx="27">
                  <c:v>2452</c:v>
                </c:pt>
                <c:pt idx="28">
                  <c:v>1000</c:v>
                </c:pt>
                <c:pt idx="29">
                  <c:v>1418</c:v>
                </c:pt>
                <c:pt idx="30">
                  <c:v>919</c:v>
                </c:pt>
                <c:pt idx="31">
                  <c:v>846</c:v>
                </c:pt>
                <c:pt idx="32">
                  <c:v>824</c:v>
                </c:pt>
                <c:pt idx="33">
                  <c:v>257</c:v>
                </c:pt>
                <c:pt idx="34">
                  <c:v>359</c:v>
                </c:pt>
                <c:pt idx="35">
                  <c:v>470</c:v>
                </c:pt>
                <c:pt idx="36">
                  <c:v>330</c:v>
                </c:pt>
                <c:pt idx="37">
                  <c:v>1526</c:v>
                </c:pt>
                <c:pt idx="38">
                  <c:v>1329</c:v>
                </c:pt>
                <c:pt idx="39">
                  <c:v>390</c:v>
                </c:pt>
                <c:pt idx="40">
                  <c:v>2393</c:v>
                </c:pt>
                <c:pt idx="41">
                  <c:v>940</c:v>
                </c:pt>
                <c:pt idx="42">
                  <c:v>616</c:v>
                </c:pt>
                <c:pt idx="43">
                  <c:v>700</c:v>
                </c:pt>
                <c:pt idx="44">
                  <c:v>1946</c:v>
                </c:pt>
                <c:pt idx="45">
                  <c:v>189</c:v>
                </c:pt>
                <c:pt idx="46">
                  <c:v>352</c:v>
                </c:pt>
                <c:pt idx="47">
                  <c:v>165</c:v>
                </c:pt>
                <c:pt idx="48">
                  <c:v>900</c:v>
                </c:pt>
                <c:pt idx="49">
                  <c:v>575</c:v>
                </c:pt>
                <c:pt idx="50">
                  <c:v>592</c:v>
                </c:pt>
                <c:pt idx="51">
                  <c:v>450</c:v>
                </c:pt>
                <c:pt idx="52">
                  <c:v>317</c:v>
                </c:pt>
                <c:pt idx="53">
                  <c:v>941</c:v>
                </c:pt>
                <c:pt idx="54">
                  <c:v>1010</c:v>
                </c:pt>
                <c:pt idx="55">
                  <c:v>1070</c:v>
                </c:pt>
                <c:pt idx="56">
                  <c:v>948</c:v>
                </c:pt>
                <c:pt idx="57">
                  <c:v>354</c:v>
                </c:pt>
                <c:pt idx="58">
                  <c:v>305</c:v>
                </c:pt>
                <c:pt idx="59">
                  <c:v>497</c:v>
                </c:pt>
                <c:pt idx="60">
                  <c:v>1200</c:v>
                </c:pt>
                <c:pt idx="61">
                  <c:v>1001</c:v>
                </c:pt>
                <c:pt idx="62">
                  <c:v>850</c:v>
                </c:pt>
                <c:pt idx="63">
                  <c:v>301</c:v>
                </c:pt>
                <c:pt idx="64">
                  <c:v>238</c:v>
                </c:pt>
                <c:pt idx="65">
                  <c:v>768</c:v>
                </c:pt>
                <c:pt idx="66">
                  <c:v>645</c:v>
                </c:pt>
                <c:pt idx="67">
                  <c:v>631</c:v>
                </c:pt>
                <c:pt idx="68">
                  <c:v>504</c:v>
                </c:pt>
                <c:pt idx="69">
                  <c:v>456</c:v>
                </c:pt>
                <c:pt idx="70">
                  <c:v>263</c:v>
                </c:pt>
                <c:pt idx="71">
                  <c:v>238</c:v>
                </c:pt>
                <c:pt idx="72">
                  <c:v>220</c:v>
                </c:pt>
                <c:pt idx="73">
                  <c:v>169</c:v>
                </c:pt>
                <c:pt idx="74">
                  <c:v>1200</c:v>
                </c:pt>
                <c:pt idx="75">
                  <c:v>644</c:v>
                </c:pt>
                <c:pt idx="76">
                  <c:v>95</c:v>
                </c:pt>
                <c:pt idx="77">
                  <c:v>800</c:v>
                </c:pt>
                <c:pt idx="78">
                  <c:v>695</c:v>
                </c:pt>
                <c:pt idx="79">
                  <c:v>151</c:v>
                </c:pt>
                <c:pt idx="80">
                  <c:v>1880</c:v>
                </c:pt>
                <c:pt idx="81">
                  <c:v>401</c:v>
                </c:pt>
                <c:pt idx="82">
                  <c:v>510</c:v>
                </c:pt>
                <c:pt idx="83">
                  <c:v>470</c:v>
                </c:pt>
                <c:pt idx="84">
                  <c:v>1360</c:v>
                </c:pt>
                <c:pt idx="85">
                  <c:v>794</c:v>
                </c:pt>
                <c:pt idx="86">
                  <c:v>450</c:v>
                </c:pt>
                <c:pt idx="87">
                  <c:v>1000</c:v>
                </c:pt>
                <c:pt idx="88">
                  <c:v>544</c:v>
                </c:pt>
                <c:pt idx="89">
                  <c:v>1721</c:v>
                </c:pt>
                <c:pt idx="90">
                  <c:v>750</c:v>
                </c:pt>
                <c:pt idx="91">
                  <c:v>830</c:v>
                </c:pt>
                <c:pt idx="92">
                  <c:v>620</c:v>
                </c:pt>
                <c:pt idx="93">
                  <c:v>587</c:v>
                </c:pt>
                <c:pt idx="94">
                  <c:v>595</c:v>
                </c:pt>
                <c:pt idx="95">
                  <c:v>1011</c:v>
                </c:pt>
                <c:pt idx="96">
                  <c:v>62</c:v>
                </c:pt>
                <c:pt idx="97">
                  <c:v>85</c:v>
                </c:pt>
                <c:pt idx="98">
                  <c:v>231</c:v>
                </c:pt>
                <c:pt idx="99">
                  <c:v>233</c:v>
                </c:pt>
                <c:pt idx="100">
                  <c:v>101</c:v>
                </c:pt>
                <c:pt idx="101">
                  <c:v>134</c:v>
                </c:pt>
                <c:pt idx="102">
                  <c:v>153</c:v>
                </c:pt>
                <c:pt idx="103">
                  <c:v>67</c:v>
                </c:pt>
                <c:pt idx="104">
                  <c:v>40</c:v>
                </c:pt>
                <c:pt idx="105">
                  <c:v>37</c:v>
                </c:pt>
                <c:pt idx="106">
                  <c:v>31</c:v>
                </c:pt>
                <c:pt idx="107">
                  <c:v>33</c:v>
                </c:pt>
                <c:pt idx="108">
                  <c:v>39</c:v>
                </c:pt>
                <c:pt idx="109">
                  <c:v>41</c:v>
                </c:pt>
                <c:pt idx="110">
                  <c:v>37</c:v>
                </c:pt>
                <c:pt idx="111">
                  <c:v>24</c:v>
                </c:pt>
              </c:numCache>
            </c:numRef>
          </c:yVal>
          <c:smooth val="0"/>
          <c:extLst>
            <c:ext xmlns:c16="http://schemas.microsoft.com/office/drawing/2014/chart" uri="{C3380CC4-5D6E-409C-BE32-E72D297353CC}">
              <c16:uniqueId val="{00000000-80E0-43BA-ACDD-BDEA94FAAD2C}"/>
            </c:ext>
          </c:extLst>
        </c:ser>
        <c:dLbls>
          <c:showLegendKey val="0"/>
          <c:showVal val="0"/>
          <c:showCatName val="0"/>
          <c:showSerName val="0"/>
          <c:showPercent val="0"/>
          <c:showBubbleSize val="0"/>
        </c:dLbls>
        <c:axId val="2040607647"/>
        <c:axId val="2040622047"/>
      </c:scatterChart>
      <c:valAx>
        <c:axId val="2040607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622047"/>
        <c:crosses val="autoZero"/>
        <c:crossBetween val="midCat"/>
      </c:valAx>
      <c:valAx>
        <c:axId val="20406220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607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Reviews Vs Discount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Excel_jumia_dataset.1!$I$1</c:f>
              <c:strCache>
                <c:ptCount val="1"/>
                <c:pt idx="0">
                  <c:v>absolute discount amount</c:v>
                </c:pt>
              </c:strCache>
            </c:strRef>
          </c:tx>
          <c:spPr>
            <a:ln w="19050" cap="rnd">
              <a:noFill/>
              <a:round/>
            </a:ln>
            <a:effectLst/>
          </c:spPr>
          <c:marker>
            <c:symbol val="circle"/>
            <c:size val="5"/>
            <c:spPr>
              <a:solidFill>
                <a:schemeClr val="accent1"/>
              </a:solidFill>
              <a:ln w="9525">
                <a:solidFill>
                  <a:schemeClr val="accent1"/>
                </a:solidFill>
              </a:ln>
              <a:effectLst/>
            </c:spPr>
          </c:marker>
          <c:xVal>
            <c:numRef>
              <c:f>Excel_jumia_dataset.1!$E$2:$E$113</c:f>
              <c:numCache>
                <c:formatCode>General</c:formatCode>
                <c:ptCount val="112"/>
                <c:pt idx="0">
                  <c:v>69</c:v>
                </c:pt>
                <c:pt idx="1">
                  <c:v>55</c:v>
                </c:pt>
                <c:pt idx="2">
                  <c:v>49</c:v>
                </c:pt>
                <c:pt idx="3">
                  <c:v>44</c:v>
                </c:pt>
                <c:pt idx="4">
                  <c:v>39</c:v>
                </c:pt>
                <c:pt idx="5">
                  <c:v>36</c:v>
                </c:pt>
                <c:pt idx="6">
                  <c:v>32</c:v>
                </c:pt>
                <c:pt idx="7">
                  <c:v>24</c:v>
                </c:pt>
                <c:pt idx="8">
                  <c:v>20</c:v>
                </c:pt>
                <c:pt idx="9">
                  <c:v>20</c:v>
                </c:pt>
                <c:pt idx="10">
                  <c:v>17</c:v>
                </c:pt>
                <c:pt idx="11">
                  <c:v>16</c:v>
                </c:pt>
                <c:pt idx="12">
                  <c:v>15</c:v>
                </c:pt>
                <c:pt idx="13">
                  <c:v>15</c:v>
                </c:pt>
                <c:pt idx="14">
                  <c:v>14</c:v>
                </c:pt>
                <c:pt idx="15">
                  <c:v>14</c:v>
                </c:pt>
                <c:pt idx="16">
                  <c:v>13</c:v>
                </c:pt>
                <c:pt idx="17">
                  <c:v>13</c:v>
                </c:pt>
                <c:pt idx="18">
                  <c:v>13</c:v>
                </c:pt>
                <c:pt idx="19">
                  <c:v>12</c:v>
                </c:pt>
                <c:pt idx="20">
                  <c:v>12</c:v>
                </c:pt>
                <c:pt idx="21">
                  <c:v>12</c:v>
                </c:pt>
                <c:pt idx="22">
                  <c:v>12</c:v>
                </c:pt>
                <c:pt idx="23">
                  <c:v>10</c:v>
                </c:pt>
                <c:pt idx="24">
                  <c:v>9</c:v>
                </c:pt>
                <c:pt idx="25">
                  <c:v>9</c:v>
                </c:pt>
                <c:pt idx="26">
                  <c:v>9</c:v>
                </c:pt>
                <c:pt idx="27">
                  <c:v>7</c:v>
                </c:pt>
                <c:pt idx="28">
                  <c:v>7</c:v>
                </c:pt>
                <c:pt idx="29">
                  <c:v>7</c:v>
                </c:pt>
                <c:pt idx="30">
                  <c:v>7</c:v>
                </c:pt>
                <c:pt idx="31">
                  <c:v>6</c:v>
                </c:pt>
                <c:pt idx="32">
                  <c:v>6</c:v>
                </c:pt>
                <c:pt idx="33">
                  <c:v>6</c:v>
                </c:pt>
                <c:pt idx="34">
                  <c:v>6</c:v>
                </c:pt>
                <c:pt idx="35">
                  <c:v>6</c:v>
                </c:pt>
                <c:pt idx="36">
                  <c:v>6</c:v>
                </c:pt>
                <c:pt idx="37">
                  <c:v>5</c:v>
                </c:pt>
                <c:pt idx="38">
                  <c:v>5</c:v>
                </c:pt>
                <c:pt idx="39">
                  <c:v>5</c:v>
                </c:pt>
                <c:pt idx="40">
                  <c:v>5</c:v>
                </c:pt>
                <c:pt idx="41">
                  <c:v>5</c:v>
                </c:pt>
                <c:pt idx="42">
                  <c:v>5</c:v>
                </c:pt>
                <c:pt idx="43">
                  <c:v>5</c:v>
                </c:pt>
                <c:pt idx="44">
                  <c:v>3</c:v>
                </c:pt>
                <c:pt idx="45">
                  <c:v>2</c:v>
                </c:pt>
                <c:pt idx="46">
                  <c:v>2</c:v>
                </c:pt>
                <c:pt idx="47">
                  <c:v>2</c:v>
                </c:pt>
                <c:pt idx="48">
                  <c:v>2</c:v>
                </c:pt>
                <c:pt idx="49">
                  <c:v>2</c:v>
                </c:pt>
                <c:pt idx="50">
                  <c:v>2</c:v>
                </c:pt>
                <c:pt idx="51">
                  <c:v>1</c:v>
                </c:pt>
                <c:pt idx="52">
                  <c:v>1</c:v>
                </c:pt>
                <c:pt idx="53">
                  <c:v>1</c:v>
                </c:pt>
                <c:pt idx="54">
                  <c:v>1</c:v>
                </c:pt>
                <c:pt idx="55">
                  <c:v>1</c:v>
                </c:pt>
                <c:pt idx="56">
                  <c:v>1</c:v>
                </c:pt>
              </c:numCache>
            </c:numRef>
          </c:xVal>
          <c:yVal>
            <c:numRef>
              <c:f>Excel_jumia_dataset.1!$I$2:$I$113</c:f>
              <c:numCache>
                <c:formatCode>#,##0</c:formatCode>
                <c:ptCount val="112"/>
                <c:pt idx="0">
                  <c:v>428</c:v>
                </c:pt>
                <c:pt idx="1">
                  <c:v>713</c:v>
                </c:pt>
                <c:pt idx="2">
                  <c:v>227</c:v>
                </c:pt>
                <c:pt idx="3">
                  <c:v>968</c:v>
                </c:pt>
                <c:pt idx="4">
                  <c:v>510</c:v>
                </c:pt>
                <c:pt idx="5">
                  <c:v>267</c:v>
                </c:pt>
                <c:pt idx="6">
                  <c:v>719</c:v>
                </c:pt>
                <c:pt idx="7">
                  <c:v>724</c:v>
                </c:pt>
                <c:pt idx="8">
                  <c:v>741</c:v>
                </c:pt>
                <c:pt idx="9">
                  <c:v>710</c:v>
                </c:pt>
                <c:pt idx="10">
                  <c:v>318</c:v>
                </c:pt>
                <c:pt idx="11">
                  <c:v>335</c:v>
                </c:pt>
                <c:pt idx="12">
                  <c:v>355</c:v>
                </c:pt>
                <c:pt idx="13">
                  <c:v>291</c:v>
                </c:pt>
                <c:pt idx="14">
                  <c:v>472</c:v>
                </c:pt>
                <c:pt idx="15">
                  <c:v>500</c:v>
                </c:pt>
                <c:pt idx="16">
                  <c:v>2585</c:v>
                </c:pt>
                <c:pt idx="17">
                  <c:v>42</c:v>
                </c:pt>
                <c:pt idx="18">
                  <c:v>640</c:v>
                </c:pt>
                <c:pt idx="19">
                  <c:v>483</c:v>
                </c:pt>
                <c:pt idx="20">
                  <c:v>510</c:v>
                </c:pt>
                <c:pt idx="21">
                  <c:v>200</c:v>
                </c:pt>
                <c:pt idx="22">
                  <c:v>640</c:v>
                </c:pt>
                <c:pt idx="23">
                  <c:v>528</c:v>
                </c:pt>
                <c:pt idx="24">
                  <c:v>197</c:v>
                </c:pt>
                <c:pt idx="25">
                  <c:v>1670</c:v>
                </c:pt>
                <c:pt idx="26">
                  <c:v>819</c:v>
                </c:pt>
                <c:pt idx="27">
                  <c:v>2452</c:v>
                </c:pt>
                <c:pt idx="28">
                  <c:v>1000</c:v>
                </c:pt>
                <c:pt idx="29">
                  <c:v>1418</c:v>
                </c:pt>
                <c:pt idx="30">
                  <c:v>919</c:v>
                </c:pt>
                <c:pt idx="31">
                  <c:v>846</c:v>
                </c:pt>
                <c:pt idx="32">
                  <c:v>824</c:v>
                </c:pt>
                <c:pt idx="33">
                  <c:v>257</c:v>
                </c:pt>
                <c:pt idx="34">
                  <c:v>359</c:v>
                </c:pt>
                <c:pt idx="35">
                  <c:v>470</c:v>
                </c:pt>
                <c:pt idx="36">
                  <c:v>330</c:v>
                </c:pt>
                <c:pt idx="37">
                  <c:v>1526</c:v>
                </c:pt>
                <c:pt idx="38">
                  <c:v>1329</c:v>
                </c:pt>
                <c:pt idx="39">
                  <c:v>390</c:v>
                </c:pt>
                <c:pt idx="40">
                  <c:v>2393</c:v>
                </c:pt>
                <c:pt idx="41">
                  <c:v>940</c:v>
                </c:pt>
                <c:pt idx="42">
                  <c:v>616</c:v>
                </c:pt>
                <c:pt idx="43">
                  <c:v>700</c:v>
                </c:pt>
                <c:pt idx="44">
                  <c:v>1946</c:v>
                </c:pt>
                <c:pt idx="45">
                  <c:v>189</c:v>
                </c:pt>
                <c:pt idx="46">
                  <c:v>352</c:v>
                </c:pt>
                <c:pt idx="47">
                  <c:v>165</c:v>
                </c:pt>
                <c:pt idx="48">
                  <c:v>900</c:v>
                </c:pt>
                <c:pt idx="49">
                  <c:v>575</c:v>
                </c:pt>
                <c:pt idx="50">
                  <c:v>592</c:v>
                </c:pt>
                <c:pt idx="51">
                  <c:v>450</c:v>
                </c:pt>
                <c:pt idx="52">
                  <c:v>317</c:v>
                </c:pt>
                <c:pt idx="53">
                  <c:v>941</c:v>
                </c:pt>
                <c:pt idx="54">
                  <c:v>1010</c:v>
                </c:pt>
                <c:pt idx="55">
                  <c:v>1070</c:v>
                </c:pt>
                <c:pt idx="56">
                  <c:v>948</c:v>
                </c:pt>
                <c:pt idx="57">
                  <c:v>354</c:v>
                </c:pt>
                <c:pt idx="58">
                  <c:v>305</c:v>
                </c:pt>
                <c:pt idx="59">
                  <c:v>497</c:v>
                </c:pt>
                <c:pt idx="60">
                  <c:v>1200</c:v>
                </c:pt>
                <c:pt idx="61">
                  <c:v>1001</c:v>
                </c:pt>
                <c:pt idx="62">
                  <c:v>850</c:v>
                </c:pt>
                <c:pt idx="63">
                  <c:v>301</c:v>
                </c:pt>
                <c:pt idx="64">
                  <c:v>238</c:v>
                </c:pt>
                <c:pt idx="65">
                  <c:v>768</c:v>
                </c:pt>
                <c:pt idx="66">
                  <c:v>645</c:v>
                </c:pt>
                <c:pt idx="67">
                  <c:v>631</c:v>
                </c:pt>
                <c:pt idx="68">
                  <c:v>504</c:v>
                </c:pt>
                <c:pt idx="69">
                  <c:v>456</c:v>
                </c:pt>
                <c:pt idx="70">
                  <c:v>263</c:v>
                </c:pt>
                <c:pt idx="71">
                  <c:v>238</c:v>
                </c:pt>
                <c:pt idx="72">
                  <c:v>220</c:v>
                </c:pt>
                <c:pt idx="73">
                  <c:v>169</c:v>
                </c:pt>
                <c:pt idx="74">
                  <c:v>1200</c:v>
                </c:pt>
                <c:pt idx="75">
                  <c:v>644</c:v>
                </c:pt>
                <c:pt idx="76">
                  <c:v>95</c:v>
                </c:pt>
                <c:pt idx="77">
                  <c:v>800</c:v>
                </c:pt>
                <c:pt idx="78">
                  <c:v>695</c:v>
                </c:pt>
                <c:pt idx="79">
                  <c:v>151</c:v>
                </c:pt>
                <c:pt idx="80">
                  <c:v>1880</c:v>
                </c:pt>
                <c:pt idx="81">
                  <c:v>401</c:v>
                </c:pt>
                <c:pt idx="82">
                  <c:v>510</c:v>
                </c:pt>
                <c:pt idx="83">
                  <c:v>470</c:v>
                </c:pt>
                <c:pt idx="84">
                  <c:v>1360</c:v>
                </c:pt>
                <c:pt idx="85">
                  <c:v>794</c:v>
                </c:pt>
                <c:pt idx="86">
                  <c:v>450</c:v>
                </c:pt>
                <c:pt idx="87">
                  <c:v>1000</c:v>
                </c:pt>
                <c:pt idx="88">
                  <c:v>544</c:v>
                </c:pt>
                <c:pt idx="89">
                  <c:v>1721</c:v>
                </c:pt>
                <c:pt idx="90">
                  <c:v>750</c:v>
                </c:pt>
                <c:pt idx="91">
                  <c:v>830</c:v>
                </c:pt>
                <c:pt idx="92">
                  <c:v>620</c:v>
                </c:pt>
                <c:pt idx="93">
                  <c:v>587</c:v>
                </c:pt>
                <c:pt idx="94">
                  <c:v>595</c:v>
                </c:pt>
                <c:pt idx="95">
                  <c:v>1011</c:v>
                </c:pt>
                <c:pt idx="96">
                  <c:v>62</c:v>
                </c:pt>
                <c:pt idx="97">
                  <c:v>85</c:v>
                </c:pt>
                <c:pt idx="98">
                  <c:v>231</c:v>
                </c:pt>
                <c:pt idx="99">
                  <c:v>233</c:v>
                </c:pt>
                <c:pt idx="100">
                  <c:v>101</c:v>
                </c:pt>
                <c:pt idx="101">
                  <c:v>134</c:v>
                </c:pt>
                <c:pt idx="102">
                  <c:v>153</c:v>
                </c:pt>
                <c:pt idx="103">
                  <c:v>67</c:v>
                </c:pt>
                <c:pt idx="104">
                  <c:v>40</c:v>
                </c:pt>
                <c:pt idx="105">
                  <c:v>37</c:v>
                </c:pt>
                <c:pt idx="106">
                  <c:v>31</c:v>
                </c:pt>
                <c:pt idx="107">
                  <c:v>33</c:v>
                </c:pt>
                <c:pt idx="108">
                  <c:v>39</c:v>
                </c:pt>
                <c:pt idx="109">
                  <c:v>41</c:v>
                </c:pt>
                <c:pt idx="110">
                  <c:v>37</c:v>
                </c:pt>
                <c:pt idx="111">
                  <c:v>24</c:v>
                </c:pt>
              </c:numCache>
            </c:numRef>
          </c:yVal>
          <c:smooth val="0"/>
          <c:extLst>
            <c:ext xmlns:c16="http://schemas.microsoft.com/office/drawing/2014/chart" uri="{C3380CC4-5D6E-409C-BE32-E72D297353CC}">
              <c16:uniqueId val="{00000000-EA26-4E48-B191-AE766220465E}"/>
            </c:ext>
          </c:extLst>
        </c:ser>
        <c:dLbls>
          <c:showLegendKey val="0"/>
          <c:showVal val="0"/>
          <c:showCatName val="0"/>
          <c:showSerName val="0"/>
          <c:showPercent val="0"/>
          <c:showBubbleSize val="0"/>
        </c:dLbls>
        <c:axId val="2040607647"/>
        <c:axId val="2040622047"/>
      </c:scatterChart>
      <c:valAx>
        <c:axId val="2040607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622047"/>
        <c:crosses val="autoZero"/>
        <c:crossBetween val="midCat"/>
      </c:valAx>
      <c:valAx>
        <c:axId val="20406220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6076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[Excel_jumia_dataset.1.xlsx]Percentage Discount Vs Reviews!PivotTable2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Percentage Discount Vs No. of Reviews</a:t>
            </a:r>
          </a:p>
        </c:rich>
      </c:tx>
      <c:layout>
        <c:manualLayout>
          <c:xMode val="edge"/>
          <c:yMode val="edge"/>
          <c:x val="0.1016248906386701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'Percentage Discount Vs Reviews'!$B$3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5B-4A4D-9283-13A0E0B9D7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5B-4A4D-9283-13A0E0B9D7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5B-4A4D-9283-13A0E0B9D7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5B-4A4D-9283-13A0E0B9D7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5B-4A4D-9283-13A0E0B9D7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5B-4A4D-9283-13A0E0B9D74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F5B-4A4D-9283-13A0E0B9D74A}"/>
              </c:ext>
            </c:extLst>
          </c:dPt>
          <c:cat>
            <c:strRef>
              <c:f>'Percentage Discount Vs Reviews'!$A$4:$A$11</c:f>
              <c:strCache>
                <c:ptCount val="7"/>
                <c:pt idx="0">
                  <c:v>0.01-0.11</c:v>
                </c:pt>
                <c:pt idx="1">
                  <c:v>0.11-0.21</c:v>
                </c:pt>
                <c:pt idx="2">
                  <c:v>0.21-0.31</c:v>
                </c:pt>
                <c:pt idx="3">
                  <c:v>0.31-0.41</c:v>
                </c:pt>
                <c:pt idx="4">
                  <c:v>0.41-0.51</c:v>
                </c:pt>
                <c:pt idx="5">
                  <c:v>0.51-0.61</c:v>
                </c:pt>
                <c:pt idx="6">
                  <c:v>0.61-0.71</c:v>
                </c:pt>
              </c:strCache>
            </c:strRef>
          </c:cat>
          <c:val>
            <c:numRef>
              <c:f>'Percentage Discount Vs Reviews'!$B$4:$B$11</c:f>
              <c:numCache>
                <c:formatCode>General</c:formatCode>
                <c:ptCount val="7"/>
                <c:pt idx="0">
                  <c:v>1</c:v>
                </c:pt>
                <c:pt idx="1">
                  <c:v>4</c:v>
                </c:pt>
                <c:pt idx="2">
                  <c:v>10</c:v>
                </c:pt>
                <c:pt idx="3">
                  <c:v>12</c:v>
                </c:pt>
                <c:pt idx="4">
                  <c:v>21</c:v>
                </c:pt>
                <c:pt idx="5">
                  <c:v>9</c:v>
                </c:pt>
              </c:numCache>
            </c:numRef>
          </c:val>
          <c:extLst>
            <c:ext xmlns:c16="http://schemas.microsoft.com/office/drawing/2014/chart" uri="{C3380CC4-5D6E-409C-BE32-E72D297353CC}">
              <c16:uniqueId val="{0000000E-BF5B-4A4D-9283-13A0E0B9D7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[Excel_jumia_dataset.1.xlsx]High Vs Low Discount Products!PivotTable5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Vs Low Discount</a:t>
            </a:r>
            <a:r>
              <a:rPr lang="en-US"/>
              <a:t> Products</a:t>
            </a:r>
          </a:p>
        </c:rich>
      </c:tx>
      <c:layout>
        <c:manualLayout>
          <c:xMode val="edge"/>
          <c:yMode val="edge"/>
          <c:x val="0.23554855643044614"/>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Vs Low Discount Products'!$B$3</c:f>
              <c:strCache>
                <c:ptCount val="1"/>
                <c:pt idx="0">
                  <c:v>Average of Ratings</c:v>
                </c:pt>
              </c:strCache>
            </c:strRef>
          </c:tx>
          <c:spPr>
            <a:solidFill>
              <a:schemeClr val="accent1"/>
            </a:solidFill>
            <a:ln>
              <a:noFill/>
            </a:ln>
            <a:effectLst/>
          </c:spPr>
          <c:invertIfNegative val="0"/>
          <c:cat>
            <c:strRef>
              <c:f>'High Vs Low Discount Products'!$A$4:$A$7</c:f>
              <c:strCache>
                <c:ptCount val="3"/>
                <c:pt idx="0">
                  <c:v>High Discount</c:v>
                </c:pt>
                <c:pt idx="1">
                  <c:v>Low Discount</c:v>
                </c:pt>
                <c:pt idx="2">
                  <c:v>Medium Discount</c:v>
                </c:pt>
              </c:strCache>
            </c:strRef>
          </c:cat>
          <c:val>
            <c:numRef>
              <c:f>'High Vs Low Discount Products'!$B$4:$B$7</c:f>
              <c:numCache>
                <c:formatCode>General</c:formatCode>
                <c:ptCount val="3"/>
                <c:pt idx="0">
                  <c:v>3.6133333333333328</c:v>
                </c:pt>
                <c:pt idx="1">
                  <c:v>3.7250000000000001</c:v>
                </c:pt>
                <c:pt idx="2">
                  <c:v>4.2782608695652176</c:v>
                </c:pt>
              </c:numCache>
            </c:numRef>
          </c:val>
          <c:extLst>
            <c:ext xmlns:c16="http://schemas.microsoft.com/office/drawing/2014/chart" uri="{C3380CC4-5D6E-409C-BE32-E72D297353CC}">
              <c16:uniqueId val="{00000000-F2E3-413D-8F29-8D3F8FF84DB1}"/>
            </c:ext>
          </c:extLst>
        </c:ser>
        <c:ser>
          <c:idx val="1"/>
          <c:order val="1"/>
          <c:tx>
            <c:strRef>
              <c:f>'High Vs Low Discount Products'!$C$3</c:f>
              <c:strCache>
                <c:ptCount val="1"/>
                <c:pt idx="0">
                  <c:v>Count of Review</c:v>
                </c:pt>
              </c:strCache>
            </c:strRef>
          </c:tx>
          <c:spPr>
            <a:solidFill>
              <a:schemeClr val="accent2"/>
            </a:solidFill>
            <a:ln>
              <a:noFill/>
            </a:ln>
            <a:effectLst/>
          </c:spPr>
          <c:invertIfNegative val="0"/>
          <c:cat>
            <c:strRef>
              <c:f>'High Vs Low Discount Products'!$A$4:$A$7</c:f>
              <c:strCache>
                <c:ptCount val="3"/>
                <c:pt idx="0">
                  <c:v>High Discount</c:v>
                </c:pt>
                <c:pt idx="1">
                  <c:v>Low Discount</c:v>
                </c:pt>
                <c:pt idx="2">
                  <c:v>Medium Discount</c:v>
                </c:pt>
              </c:strCache>
            </c:strRef>
          </c:cat>
          <c:val>
            <c:numRef>
              <c:f>'High Vs Low Discount Products'!$C$4:$C$7</c:f>
              <c:numCache>
                <c:formatCode>General</c:formatCode>
                <c:ptCount val="3"/>
                <c:pt idx="0">
                  <c:v>30</c:v>
                </c:pt>
                <c:pt idx="1">
                  <c:v>4</c:v>
                </c:pt>
                <c:pt idx="2">
                  <c:v>23</c:v>
                </c:pt>
              </c:numCache>
            </c:numRef>
          </c:val>
          <c:extLst>
            <c:ext xmlns:c16="http://schemas.microsoft.com/office/drawing/2014/chart" uri="{C3380CC4-5D6E-409C-BE32-E72D297353CC}">
              <c16:uniqueId val="{00000001-F2E3-413D-8F29-8D3F8FF84DB1}"/>
            </c:ext>
          </c:extLst>
        </c:ser>
        <c:dLbls>
          <c:showLegendKey val="0"/>
          <c:showVal val="0"/>
          <c:showCatName val="0"/>
          <c:showSerName val="0"/>
          <c:showPercent val="0"/>
          <c:showBubbleSize val="0"/>
        </c:dLbls>
        <c:gapWidth val="219"/>
        <c:overlap val="-27"/>
        <c:axId val="2134809775"/>
        <c:axId val="2134800655"/>
      </c:barChart>
      <c:catAx>
        <c:axId val="213480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00655"/>
        <c:crosses val="autoZero"/>
        <c:auto val="1"/>
        <c:lblAlgn val="ctr"/>
        <c:lblOffset val="100"/>
        <c:noMultiLvlLbl val="0"/>
      </c:catAx>
      <c:valAx>
        <c:axId val="213480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0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[Excel_jumia_dataset.1.xlsx]Rating Vs No. Of Reviews!PivotTable3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Rating Vs No.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Vs No. Of Reviews'!$B$3</c:f>
              <c:strCache>
                <c:ptCount val="1"/>
                <c:pt idx="0">
                  <c:v>Total</c:v>
                </c:pt>
              </c:strCache>
            </c:strRef>
          </c:tx>
          <c:spPr>
            <a:solidFill>
              <a:schemeClr val="accent1"/>
            </a:solidFill>
            <a:ln>
              <a:noFill/>
            </a:ln>
            <a:effectLst/>
          </c:spPr>
          <c:invertIfNegative val="0"/>
          <c:cat>
            <c:strRef>
              <c:f>'Rating Vs No. Of Reviews'!$A$4:$A$8</c:f>
              <c:strCache>
                <c:ptCount val="4"/>
                <c:pt idx="0">
                  <c:v>2-3</c:v>
                </c:pt>
                <c:pt idx="1">
                  <c:v>3-4</c:v>
                </c:pt>
                <c:pt idx="2">
                  <c:v>4-5</c:v>
                </c:pt>
                <c:pt idx="3">
                  <c:v>0</c:v>
                </c:pt>
              </c:strCache>
            </c:strRef>
          </c:cat>
          <c:val>
            <c:numRef>
              <c:f>'Rating Vs No. Of Reviews'!$B$4:$B$8</c:f>
              <c:numCache>
                <c:formatCode>General</c:formatCode>
                <c:ptCount val="4"/>
                <c:pt idx="0">
                  <c:v>12</c:v>
                </c:pt>
                <c:pt idx="1">
                  <c:v>9</c:v>
                </c:pt>
                <c:pt idx="2">
                  <c:v>36</c:v>
                </c:pt>
              </c:numCache>
            </c:numRef>
          </c:val>
          <c:extLst>
            <c:ext xmlns:c16="http://schemas.microsoft.com/office/drawing/2014/chart" uri="{C3380CC4-5D6E-409C-BE32-E72D297353CC}">
              <c16:uniqueId val="{00000000-8B92-4AB7-971B-8916C80A40DC}"/>
            </c:ext>
          </c:extLst>
        </c:ser>
        <c:dLbls>
          <c:showLegendKey val="0"/>
          <c:showVal val="0"/>
          <c:showCatName val="0"/>
          <c:showSerName val="0"/>
          <c:showPercent val="0"/>
          <c:showBubbleSize val="0"/>
        </c:dLbls>
        <c:gapWidth val="219"/>
        <c:overlap val="-27"/>
        <c:axId val="2134817935"/>
        <c:axId val="2134801615"/>
      </c:barChart>
      <c:catAx>
        <c:axId val="213481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01615"/>
        <c:crosses val="autoZero"/>
        <c:auto val="1"/>
        <c:lblAlgn val="ctr"/>
        <c:lblOffset val="100"/>
        <c:noMultiLvlLbl val="0"/>
      </c:catAx>
      <c:valAx>
        <c:axId val="213480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1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171450</xdr:colOff>
      <xdr:row>0</xdr:row>
      <xdr:rowOff>177800</xdr:rowOff>
    </xdr:from>
    <xdr:to>
      <xdr:col>13</xdr:col>
      <xdr:colOff>450850</xdr:colOff>
      <xdr:row>15</xdr:row>
      <xdr:rowOff>158750</xdr:rowOff>
    </xdr:to>
    <xdr:graphicFrame macro="">
      <xdr:nvGraphicFramePr>
        <xdr:cNvPr id="2" name="Chart 1">
          <a:extLst>
            <a:ext uri="{FF2B5EF4-FFF2-40B4-BE49-F238E27FC236}">
              <a16:creationId xmlns:a16="http://schemas.microsoft.com/office/drawing/2014/main" id="{22830826-F8A2-825E-7EC6-C03102A45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0</xdr:row>
      <xdr:rowOff>161925</xdr:rowOff>
    </xdr:from>
    <xdr:to>
      <xdr:col>11</xdr:col>
      <xdr:colOff>457200</xdr:colOff>
      <xdr:row>15</xdr:row>
      <xdr:rowOff>142875</xdr:rowOff>
    </xdr:to>
    <xdr:graphicFrame macro="">
      <xdr:nvGraphicFramePr>
        <xdr:cNvPr id="2" name="Chart 1">
          <a:extLst>
            <a:ext uri="{FF2B5EF4-FFF2-40B4-BE49-F238E27FC236}">
              <a16:creationId xmlns:a16="http://schemas.microsoft.com/office/drawing/2014/main" id="{19136037-0437-844E-085C-C83C7C21F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69850</xdr:colOff>
      <xdr:row>1</xdr:row>
      <xdr:rowOff>50800</xdr:rowOff>
    </xdr:from>
    <xdr:to>
      <xdr:col>11</xdr:col>
      <xdr:colOff>107950</xdr:colOff>
      <xdr:row>16</xdr:row>
      <xdr:rowOff>107950</xdr:rowOff>
    </xdr:to>
    <xdr:graphicFrame macro="">
      <xdr:nvGraphicFramePr>
        <xdr:cNvPr id="2" name="Chart 1">
          <a:extLst>
            <a:ext uri="{FF2B5EF4-FFF2-40B4-BE49-F238E27FC236}">
              <a16:creationId xmlns:a16="http://schemas.microsoft.com/office/drawing/2014/main" id="{6E8BB7A6-385C-CCD2-6848-B70F006CD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165100</xdr:colOff>
      <xdr:row>0</xdr:row>
      <xdr:rowOff>174625</xdr:rowOff>
    </xdr:from>
    <xdr:to>
      <xdr:col>11</xdr:col>
      <xdr:colOff>469900</xdr:colOff>
      <xdr:row>15</xdr:row>
      <xdr:rowOff>155575</xdr:rowOff>
    </xdr:to>
    <xdr:graphicFrame macro="">
      <xdr:nvGraphicFramePr>
        <xdr:cNvPr id="2" name="Chart 1">
          <a:extLst>
            <a:ext uri="{FF2B5EF4-FFF2-40B4-BE49-F238E27FC236}">
              <a16:creationId xmlns:a16="http://schemas.microsoft.com/office/drawing/2014/main" id="{4F82A5F2-A465-6AED-EC28-686F523EA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20</xdr:row>
      <xdr:rowOff>0</xdr:rowOff>
    </xdr:from>
    <xdr:to>
      <xdr:col>11</xdr:col>
      <xdr:colOff>304800</xdr:colOff>
      <xdr:row>34</xdr:row>
      <xdr:rowOff>165100</xdr:rowOff>
    </xdr:to>
    <xdr:graphicFrame macro="">
      <xdr:nvGraphicFramePr>
        <xdr:cNvPr id="6" name="Chart 5">
          <a:extLst>
            <a:ext uri="{FF2B5EF4-FFF2-40B4-BE49-F238E27FC236}">
              <a16:creationId xmlns:a16="http://schemas.microsoft.com/office/drawing/2014/main" id="{9EF17CF6-E5E3-4086-8906-AB6A9532D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504825</xdr:colOff>
      <xdr:row>20</xdr:row>
      <xdr:rowOff>165100</xdr:rowOff>
    </xdr:from>
    <xdr:to>
      <xdr:col>12</xdr:col>
      <xdr:colOff>1654175</xdr:colOff>
      <xdr:row>35</xdr:row>
      <xdr:rowOff>146050</xdr:rowOff>
    </xdr:to>
    <xdr:graphicFrame macro="">
      <xdr:nvGraphicFramePr>
        <xdr:cNvPr id="4" name="Chart 3">
          <a:extLst>
            <a:ext uri="{FF2B5EF4-FFF2-40B4-BE49-F238E27FC236}">
              <a16:creationId xmlns:a16="http://schemas.microsoft.com/office/drawing/2014/main" id="{17274D04-962E-3C91-10AA-14F3AE093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196850</xdr:colOff>
      <xdr:row>0</xdr:row>
      <xdr:rowOff>158750</xdr:rowOff>
    </xdr:from>
    <xdr:to>
      <xdr:col>16</xdr:col>
      <xdr:colOff>63500</xdr:colOff>
      <xdr:row>4</xdr:row>
      <xdr:rowOff>133350</xdr:rowOff>
    </xdr:to>
    <xdr:sp macro="" textlink="">
      <xdr:nvSpPr>
        <xdr:cNvPr id="2" name="Rectangle: Rounded Corners 1">
          <a:extLst>
            <a:ext uri="{FF2B5EF4-FFF2-40B4-BE49-F238E27FC236}">
              <a16:creationId xmlns:a16="http://schemas.microsoft.com/office/drawing/2014/main" id="{03DBC837-F49D-5638-233F-B5C0CA28C98F}"/>
            </a:ext>
          </a:extLst>
        </xdr:cNvPr>
        <xdr:cNvSpPr/>
      </xdr:nvSpPr>
      <xdr:spPr>
        <a:xfrm>
          <a:off x="2635250" y="158750"/>
          <a:ext cx="7181850" cy="7112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2800" b="1">
              <a:solidFill>
                <a:schemeClr val="accent2"/>
              </a:solidFill>
            </a:rPr>
            <a:t>    Jumia Product Performance Dashboard</a:t>
          </a:r>
        </a:p>
      </xdr:txBody>
    </xdr:sp>
    <xdr:clientData/>
  </xdr:twoCellAnchor>
  <xdr:twoCellAnchor>
    <xdr:from>
      <xdr:col>1</xdr:col>
      <xdr:colOff>419100</xdr:colOff>
      <xdr:row>5</xdr:row>
      <xdr:rowOff>107950</xdr:rowOff>
    </xdr:from>
    <xdr:to>
      <xdr:col>5</xdr:col>
      <xdr:colOff>546100</xdr:colOff>
      <xdr:row>10</xdr:row>
      <xdr:rowOff>88900</xdr:rowOff>
    </xdr:to>
    <xdr:sp macro="" textlink="">
      <xdr:nvSpPr>
        <xdr:cNvPr id="3" name="Rectangle: Rounded Corners 2">
          <a:extLst>
            <a:ext uri="{FF2B5EF4-FFF2-40B4-BE49-F238E27FC236}">
              <a16:creationId xmlns:a16="http://schemas.microsoft.com/office/drawing/2014/main" id="{38FE4DB2-47EB-54B5-C526-C4A9D0589004}"/>
            </a:ext>
          </a:extLst>
        </xdr:cNvPr>
        <xdr:cNvSpPr/>
      </xdr:nvSpPr>
      <xdr:spPr>
        <a:xfrm>
          <a:off x="1028700" y="1028700"/>
          <a:ext cx="2565400" cy="9017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400" b="1" i="0" u="none" strike="noStrike">
              <a:solidFill>
                <a:schemeClr val="accent2"/>
              </a:solidFill>
              <a:effectLst/>
              <a:latin typeface="+mn-lt"/>
              <a:ea typeface="+mn-ea"/>
              <a:cs typeface="+mn-cs"/>
            </a:rPr>
            <a:t>Average Current Price</a:t>
          </a:r>
          <a:r>
            <a:rPr lang="en-US" sz="1400" b="1">
              <a:solidFill>
                <a:schemeClr val="accent2"/>
              </a:solidFill>
              <a:effectLst/>
            </a:rPr>
            <a:t> </a:t>
          </a:r>
          <a:br>
            <a:rPr lang="en-US" sz="1400" b="1">
              <a:effectLst/>
            </a:rPr>
          </a:br>
          <a:r>
            <a:rPr lang="en-US" sz="1400" b="1" i="0" u="none" strike="noStrike">
              <a:solidFill>
                <a:schemeClr val="dk1"/>
              </a:solidFill>
              <a:effectLst/>
              <a:latin typeface="+mn-lt"/>
              <a:ea typeface="+mn-ea"/>
              <a:cs typeface="+mn-cs"/>
            </a:rPr>
            <a:t>1186.892857</a:t>
          </a:r>
          <a:r>
            <a:rPr lang="en-US" sz="1400" b="1">
              <a:effectLst/>
            </a:rPr>
            <a:t> </a:t>
          </a:r>
          <a:endParaRPr lang="en-US" sz="1400" b="1"/>
        </a:p>
      </xdr:txBody>
    </xdr:sp>
    <xdr:clientData/>
  </xdr:twoCellAnchor>
  <xdr:twoCellAnchor>
    <xdr:from>
      <xdr:col>6</xdr:col>
      <xdr:colOff>57150</xdr:colOff>
      <xdr:row>5</xdr:row>
      <xdr:rowOff>107950</xdr:rowOff>
    </xdr:from>
    <xdr:to>
      <xdr:col>10</xdr:col>
      <xdr:colOff>184150</xdr:colOff>
      <xdr:row>10</xdr:row>
      <xdr:rowOff>88900</xdr:rowOff>
    </xdr:to>
    <xdr:sp macro="" textlink="">
      <xdr:nvSpPr>
        <xdr:cNvPr id="4" name="Rectangle: Rounded Corners 3">
          <a:extLst>
            <a:ext uri="{FF2B5EF4-FFF2-40B4-BE49-F238E27FC236}">
              <a16:creationId xmlns:a16="http://schemas.microsoft.com/office/drawing/2014/main" id="{24B1696D-E37E-43CC-B885-32D0C73209DA}"/>
            </a:ext>
          </a:extLst>
        </xdr:cNvPr>
        <xdr:cNvSpPr/>
      </xdr:nvSpPr>
      <xdr:spPr>
        <a:xfrm>
          <a:off x="3714750" y="1028700"/>
          <a:ext cx="2565400" cy="9017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400" b="1" i="0" u="none" strike="noStrike">
              <a:solidFill>
                <a:schemeClr val="accent2"/>
              </a:solidFill>
              <a:effectLst/>
              <a:latin typeface="+mn-lt"/>
              <a:ea typeface="+mn-ea"/>
              <a:cs typeface="+mn-cs"/>
            </a:rPr>
            <a:t>Average Old Price</a:t>
          </a:r>
          <a:br>
            <a:rPr lang="en-US" sz="1400" b="1" i="0" u="none" strike="noStrike">
              <a:solidFill>
                <a:schemeClr val="dk1"/>
              </a:solidFill>
              <a:effectLst/>
              <a:latin typeface="+mn-lt"/>
              <a:ea typeface="+mn-ea"/>
              <a:cs typeface="+mn-cs"/>
            </a:rPr>
          </a:br>
          <a:r>
            <a:rPr lang="en-US" sz="1400" b="1">
              <a:effectLst/>
            </a:rPr>
            <a:t> </a:t>
          </a:r>
          <a:r>
            <a:rPr lang="en-US" sz="1400" b="1" i="0" u="none" strike="noStrike">
              <a:solidFill>
                <a:schemeClr val="dk1"/>
              </a:solidFill>
              <a:effectLst/>
              <a:latin typeface="+mn-lt"/>
              <a:ea typeface="+mn-ea"/>
              <a:cs typeface="+mn-cs"/>
            </a:rPr>
            <a:t>1811.107143</a:t>
          </a:r>
          <a:r>
            <a:rPr lang="en-US" sz="1400" b="1">
              <a:effectLst/>
            </a:rPr>
            <a:t> </a:t>
          </a:r>
          <a:endParaRPr lang="en-US" sz="1400" b="1"/>
        </a:p>
      </xdr:txBody>
    </xdr:sp>
    <xdr:clientData/>
  </xdr:twoCellAnchor>
  <xdr:twoCellAnchor>
    <xdr:from>
      <xdr:col>10</xdr:col>
      <xdr:colOff>323850</xdr:colOff>
      <xdr:row>5</xdr:row>
      <xdr:rowOff>114300</xdr:rowOff>
    </xdr:from>
    <xdr:to>
      <xdr:col>14</xdr:col>
      <xdr:colOff>450850</xdr:colOff>
      <xdr:row>10</xdr:row>
      <xdr:rowOff>95250</xdr:rowOff>
    </xdr:to>
    <xdr:sp macro="" textlink="">
      <xdr:nvSpPr>
        <xdr:cNvPr id="6" name="Rectangle: Rounded Corners 5">
          <a:extLst>
            <a:ext uri="{FF2B5EF4-FFF2-40B4-BE49-F238E27FC236}">
              <a16:creationId xmlns:a16="http://schemas.microsoft.com/office/drawing/2014/main" id="{D49F09BB-9FC1-47E1-9890-18F7F7DC6D0F}"/>
            </a:ext>
          </a:extLst>
        </xdr:cNvPr>
        <xdr:cNvSpPr/>
      </xdr:nvSpPr>
      <xdr:spPr>
        <a:xfrm>
          <a:off x="6419850" y="1035050"/>
          <a:ext cx="2565400" cy="9017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400" b="1" i="0" u="none" strike="noStrike">
              <a:solidFill>
                <a:schemeClr val="accent2"/>
              </a:solidFill>
              <a:effectLst/>
              <a:latin typeface="+mn-lt"/>
              <a:ea typeface="+mn-ea"/>
              <a:cs typeface="+mn-cs"/>
            </a:rPr>
            <a:t>Average Rating</a:t>
          </a:r>
          <a:r>
            <a:rPr lang="en-US" sz="1400" b="1">
              <a:solidFill>
                <a:schemeClr val="accent2"/>
              </a:solidFill>
              <a:effectLst/>
            </a:rPr>
            <a:t> </a:t>
          </a:r>
          <a:br>
            <a:rPr lang="en-US" sz="1400" b="1">
              <a:effectLst/>
            </a:rPr>
          </a:br>
          <a:r>
            <a:rPr lang="en-US" sz="1400" b="1" i="0" u="none" strike="noStrike">
              <a:solidFill>
                <a:schemeClr val="dk1"/>
              </a:solidFill>
              <a:effectLst/>
              <a:latin typeface="+mn-lt"/>
              <a:ea typeface="+mn-ea"/>
              <a:cs typeface="+mn-cs"/>
            </a:rPr>
            <a:t>3.889473684</a:t>
          </a:r>
          <a:r>
            <a:rPr lang="en-US" sz="1400" b="1">
              <a:effectLst/>
            </a:rPr>
            <a:t> </a:t>
          </a:r>
          <a:endParaRPr lang="en-US" sz="1400" b="1"/>
        </a:p>
      </xdr:txBody>
    </xdr:sp>
    <xdr:clientData/>
  </xdr:twoCellAnchor>
  <xdr:twoCellAnchor>
    <xdr:from>
      <xdr:col>14</xdr:col>
      <xdr:colOff>571500</xdr:colOff>
      <xdr:row>5</xdr:row>
      <xdr:rowOff>107950</xdr:rowOff>
    </xdr:from>
    <xdr:to>
      <xdr:col>19</xdr:col>
      <xdr:colOff>88900</xdr:colOff>
      <xdr:row>10</xdr:row>
      <xdr:rowOff>88900</xdr:rowOff>
    </xdr:to>
    <xdr:sp macro="" textlink="">
      <xdr:nvSpPr>
        <xdr:cNvPr id="7" name="Rectangle: Rounded Corners 6">
          <a:extLst>
            <a:ext uri="{FF2B5EF4-FFF2-40B4-BE49-F238E27FC236}">
              <a16:creationId xmlns:a16="http://schemas.microsoft.com/office/drawing/2014/main" id="{233B077A-7CEE-4CFB-A87E-4799A82B687E}"/>
            </a:ext>
          </a:extLst>
        </xdr:cNvPr>
        <xdr:cNvSpPr/>
      </xdr:nvSpPr>
      <xdr:spPr>
        <a:xfrm>
          <a:off x="9105900" y="1028700"/>
          <a:ext cx="2565400" cy="9017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400" b="1" i="0" u="none" strike="noStrike">
              <a:solidFill>
                <a:schemeClr val="accent2"/>
              </a:solidFill>
              <a:effectLst/>
              <a:latin typeface="+mn-lt"/>
              <a:ea typeface="+mn-ea"/>
              <a:cs typeface="+mn-cs"/>
            </a:rPr>
            <a:t>Average Discount</a:t>
          </a:r>
          <a:r>
            <a:rPr lang="en-US" sz="1400" b="1">
              <a:solidFill>
                <a:schemeClr val="accent2"/>
              </a:solidFill>
              <a:effectLst/>
            </a:rPr>
            <a:t> </a:t>
          </a:r>
          <a:br>
            <a:rPr lang="en-US" sz="1400" b="1">
              <a:effectLst/>
            </a:rPr>
          </a:br>
          <a:r>
            <a:rPr lang="en-US" sz="1400" b="1" i="0" u="none" strike="noStrike">
              <a:solidFill>
                <a:schemeClr val="dk1"/>
              </a:solidFill>
              <a:effectLst/>
              <a:latin typeface="+mn-lt"/>
              <a:ea typeface="+mn-ea"/>
              <a:cs typeface="+mn-cs"/>
            </a:rPr>
            <a:t>36.78%</a:t>
          </a:r>
          <a:r>
            <a:rPr lang="en-US" sz="1400" b="1">
              <a:effectLst/>
            </a:rPr>
            <a:t> </a:t>
          </a:r>
          <a:endParaRPr lang="en-US" sz="1400" b="1"/>
        </a:p>
      </xdr:txBody>
    </xdr:sp>
    <xdr:clientData/>
  </xdr:twoCellAnchor>
  <xdr:twoCellAnchor>
    <xdr:from>
      <xdr:col>4</xdr:col>
      <xdr:colOff>355600</xdr:colOff>
      <xdr:row>15</xdr:row>
      <xdr:rowOff>127000</xdr:rowOff>
    </xdr:from>
    <xdr:to>
      <xdr:col>12</xdr:col>
      <xdr:colOff>50800</xdr:colOff>
      <xdr:row>30</xdr:row>
      <xdr:rowOff>107950</xdr:rowOff>
    </xdr:to>
    <xdr:graphicFrame macro="">
      <xdr:nvGraphicFramePr>
        <xdr:cNvPr id="8" name="Chart 7">
          <a:extLst>
            <a:ext uri="{FF2B5EF4-FFF2-40B4-BE49-F238E27FC236}">
              <a16:creationId xmlns:a16="http://schemas.microsoft.com/office/drawing/2014/main" id="{A7CADAC0-21C0-48EB-B41B-2874B3234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377473</xdr:colOff>
      <xdr:row>31</xdr:row>
      <xdr:rowOff>152400</xdr:rowOff>
    </xdr:from>
    <xdr:to>
      <xdr:col>12</xdr:col>
      <xdr:colOff>117123</xdr:colOff>
      <xdr:row>47</xdr:row>
      <xdr:rowOff>114300</xdr:rowOff>
    </xdr:to>
    <xdr:graphicFrame macro="">
      <xdr:nvGraphicFramePr>
        <xdr:cNvPr id="9" name="Chart 8">
          <a:extLst>
            <a:ext uri="{FF2B5EF4-FFF2-40B4-BE49-F238E27FC236}">
              <a16:creationId xmlns:a16="http://schemas.microsoft.com/office/drawing/2014/main" id="{AB320ADE-787D-4ECA-A782-3E0A23400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330200</xdr:colOff>
      <xdr:row>15</xdr:row>
      <xdr:rowOff>165100</xdr:rowOff>
    </xdr:from>
    <xdr:to>
      <xdr:col>20</xdr:col>
      <xdr:colOff>25400</xdr:colOff>
      <xdr:row>30</xdr:row>
      <xdr:rowOff>146050</xdr:rowOff>
    </xdr:to>
    <xdr:graphicFrame macro="">
      <xdr:nvGraphicFramePr>
        <xdr:cNvPr id="11" name="Chart 10">
          <a:extLst>
            <a:ext uri="{FF2B5EF4-FFF2-40B4-BE49-F238E27FC236}">
              <a16:creationId xmlns:a16="http://schemas.microsoft.com/office/drawing/2014/main" id="{F116BE2B-60DF-4F5B-8BBB-7E4778511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349250</xdr:colOff>
      <xdr:row>32</xdr:row>
      <xdr:rowOff>38100</xdr:rowOff>
    </xdr:from>
    <xdr:to>
      <xdr:col>20</xdr:col>
      <xdr:colOff>50800</xdr:colOff>
      <xdr:row>47</xdr:row>
      <xdr:rowOff>88900</xdr:rowOff>
    </xdr:to>
    <xdr:graphicFrame macro="">
      <xdr:nvGraphicFramePr>
        <xdr:cNvPr id="12" name="Chart 11">
          <a:extLst>
            <a:ext uri="{FF2B5EF4-FFF2-40B4-BE49-F238E27FC236}">
              <a16:creationId xmlns:a16="http://schemas.microsoft.com/office/drawing/2014/main" id="{B5EE1D08-AD46-4028-B148-E973252A9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558800</xdr:colOff>
      <xdr:row>16</xdr:row>
      <xdr:rowOff>107950</xdr:rowOff>
    </xdr:from>
    <xdr:to>
      <xdr:col>3</xdr:col>
      <xdr:colOff>558800</xdr:colOff>
      <xdr:row>30</xdr:row>
      <xdr:rowOff>53975</xdr:rowOff>
    </xdr:to>
    <mc:AlternateContent xmlns:mc="http://schemas.openxmlformats.org/markup-compatibility/2006" xmlns:a14="http://schemas.microsoft.com/office/drawing/2010/main">
      <mc:Choice Requires="a14">
        <xdr:graphicFrame macro="">
          <xdr:nvGraphicFramePr>
            <xdr:cNvPr id="14" name="Discount Category">
              <a:extLst>
                <a:ext uri="{FF2B5EF4-FFF2-40B4-BE49-F238E27FC236}">
                  <a16:creationId xmlns:a16="http://schemas.microsoft.com/office/drawing/2014/main" id="{032E603D-8295-616F-6FB9-AEBBC5636487}"/>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558800" y="3043061"/>
              <a:ext cx="1820333" cy="2514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571500</xdr:colOff>
      <xdr:row>32</xdr:row>
      <xdr:rowOff>103717</xdr:rowOff>
    </xdr:from>
    <xdr:to>
      <xdr:col>3</xdr:col>
      <xdr:colOff>571500</xdr:colOff>
      <xdr:row>46</xdr:row>
      <xdr:rowOff>50448</xdr:rowOff>
    </xdr:to>
    <mc:AlternateContent xmlns:mc="http://schemas.openxmlformats.org/markup-compatibility/2006" xmlns:a14="http://schemas.microsoft.com/office/drawing/2010/main">
      <mc:Choice Requires="a14">
        <xdr:graphicFrame macro="">
          <xdr:nvGraphicFramePr>
            <xdr:cNvPr id="19" name="Rating category">
              <a:extLst>
                <a:ext uri="{FF2B5EF4-FFF2-40B4-BE49-F238E27FC236}">
                  <a16:creationId xmlns:a16="http://schemas.microsoft.com/office/drawing/2014/main" id="{6D42E73A-25F5-CBB7-3426-DAF4AB6BB5EC}"/>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571500" y="5973939"/>
              <a:ext cx="1820333" cy="2514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5.402276736109" createdVersion="8" refreshedVersion="8" minRefreshableVersion="3" recordCount="112" xr:uid="{64EC05DE-5DF0-43C5-AFF0-D67705211F04}">
  <cacheSource type="worksheet">
    <worksheetSource name="Table1"/>
  </cacheSource>
  <cacheFields count="9">
    <cacheField name="Product" numFmtId="0">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count" numFmtId="9">
      <sharedItems containsSemiMixedTypes="0" containsString="0" containsNumber="1" minValue="0.01" maxValue="0.64" count="46">
        <n v="0.49"/>
        <n v="0.24"/>
        <n v="0.35"/>
        <n v="0.34"/>
        <n v="0.41"/>
        <n v="0.27"/>
        <n v="0.25"/>
        <n v="0.3"/>
        <n v="0.45"/>
        <n v="0.22"/>
        <n v="0.52"/>
        <n v="0.09"/>
        <n v="0.47"/>
        <n v="0.23"/>
        <n v="0.55000000000000004"/>
        <n v="0.53"/>
        <n v="0.32"/>
        <n v="0.2"/>
        <n v="0.18"/>
        <n v="0.54"/>
        <n v="0.48"/>
        <n v="0.33"/>
        <n v="0.5"/>
        <n v="0.37"/>
        <n v="0.43"/>
        <n v="0.42"/>
        <n v="0.13"/>
        <n v="0.39"/>
        <n v="0.28999999999999998"/>
        <n v="0.26"/>
        <n v="0.19"/>
        <n v="0.51"/>
        <n v="0.46"/>
        <n v="0.38"/>
        <n v="0.4"/>
        <n v="0.21"/>
        <n v="0.64"/>
        <n v="0.61"/>
        <n v="0.36"/>
        <n v="0.14000000000000001"/>
        <n v="0.11"/>
        <n v="0.08"/>
        <n v="0.04"/>
        <n v="0.03"/>
        <n v="0.02"/>
        <n v="0.01"/>
      </sharedItems>
      <fieldGroup base="3">
        <rangePr startNum="0.01" endNum="0.64" groupInterval="0.1"/>
        <groupItems count="9">
          <s v="&lt;0.01"/>
          <s v="0.01-0.11"/>
          <s v="0.11-0.21"/>
          <s v="0.21-0.31"/>
          <s v="0.31-0.41"/>
          <s v="0.41-0.51"/>
          <s v="0.51-0.61"/>
          <s v="0.61-0.71"/>
          <s v="&gt;0.71"/>
        </groupItems>
      </fieldGroup>
    </cacheField>
    <cacheField name="Review" numFmtId="0">
      <sharedItems containsString="0" containsBlank="1" containsNumber="1" containsInteger="1" minValue="1" maxValue="69"/>
    </cacheField>
    <cacheField name="Ratings" numFmtId="0">
      <sharedItems containsString="0" containsBlank="1" containsNumber="1" minValue="2" maxValue="5" count="23">
        <n v="2.8"/>
        <n v="4.5999999999999996"/>
        <n v="4.7"/>
        <n v="4.3"/>
        <n v="4.5"/>
        <n v="4.0999999999999996"/>
        <n v="2.6"/>
        <n v="2.9"/>
        <n v="2.7"/>
        <n v="4"/>
        <n v="4.4000000000000004"/>
        <n v="2.1"/>
        <n v="3.3"/>
        <n v="3.8"/>
        <n v="4.8"/>
        <n v="3"/>
        <n v="4.2"/>
        <n v="2.2999999999999998"/>
        <n v="2.2000000000000002"/>
        <n v="2.5"/>
        <n v="5"/>
        <n v="2"/>
        <m/>
      </sharedItems>
      <fieldGroup base="5">
        <rangePr startNum="2" endNum="5"/>
        <groupItems count="5">
          <s v="(blank)"/>
          <s v="2-3"/>
          <s v="3-4"/>
          <s v="4-5"/>
          <s v="&gt;5"/>
        </groupItems>
      </fieldGroup>
    </cacheField>
    <cacheField name="Rating category" numFmtId="0">
      <sharedItems count="4">
        <s v="Poor"/>
        <s v="Excellent"/>
        <s v="Average"/>
        <s v="NA"/>
      </sharedItems>
    </cacheField>
    <cacheField name="Discount Category" numFmtId="0">
      <sharedItems count="3">
        <s v="High Discount"/>
        <s v="Medium Discount"/>
        <s v="Low Discount"/>
      </sharedItems>
    </cacheField>
    <cacheField name="absolute discount amount" numFmtId="3">
      <sharedItems containsSemiMixedTypes="0" containsString="0" containsNumber="1" containsInteger="1" minValue="24" maxValue="2585"/>
    </cacheField>
  </cacheFields>
  <extLst>
    <ext xmlns:x14="http://schemas.microsoft.com/office/spreadsheetml/2009/9/main" uri="{725AE2AE-9491-48be-B2B4-4EB974FC3084}">
      <x14:pivotCacheDefinition pivotCacheId="16993488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120W Cordless Vacuum Cleaners Handheld Electric Vacuum Cleaner"/>
    <n v="445"/>
    <n v="873"/>
    <x v="0"/>
    <n v="69"/>
    <x v="0"/>
    <x v="0"/>
    <x v="0"/>
    <n v="428"/>
  </r>
  <r>
    <s v="137 Pieces Cake Decorating Tool Set Baking Supplies"/>
    <n v="2319"/>
    <n v="3032"/>
    <x v="1"/>
    <n v="55"/>
    <x v="1"/>
    <x v="1"/>
    <x v="1"/>
    <n v="713"/>
  </r>
  <r>
    <s v="Electronic Digital Display Vernier Caliper"/>
    <n v="420"/>
    <n v="647"/>
    <x v="2"/>
    <n v="49"/>
    <x v="1"/>
    <x v="1"/>
    <x v="1"/>
    <n v="227"/>
  </r>
  <r>
    <s v="3D Waterproof EVA Plastic Shower Curtain 1.8*2Mtrs"/>
    <n v="998"/>
    <n v="1966"/>
    <x v="0"/>
    <n v="44"/>
    <x v="1"/>
    <x v="1"/>
    <x v="0"/>
    <n v="968"/>
  </r>
  <r>
    <s v="100 Pcs Crochet Hook Tool Set Knitting Hook Set With Box"/>
    <n v="990"/>
    <n v="1500"/>
    <x v="3"/>
    <n v="39"/>
    <x v="2"/>
    <x v="1"/>
    <x v="1"/>
    <n v="510"/>
  </r>
  <r>
    <s v="Punch-free Great Load Bearing Bathroom Storage Rack Wall Shelf-White"/>
    <n v="389"/>
    <n v="656"/>
    <x v="4"/>
    <n v="36"/>
    <x v="3"/>
    <x v="2"/>
    <x v="0"/>
    <n v="267"/>
  </r>
  <r>
    <s v="53 Pieces/Set Yarn Knitting Crochet Hooks With Bag - Pansies"/>
    <n v="1980"/>
    <n v="2699"/>
    <x v="5"/>
    <n v="32"/>
    <x v="4"/>
    <x v="1"/>
    <x v="1"/>
    <n v="719"/>
  </r>
  <r>
    <s v="Portable Mini Cordless Car Vacuum Cleaner - Blue"/>
    <n v="2199"/>
    <n v="2923"/>
    <x v="6"/>
    <n v="24"/>
    <x v="1"/>
    <x v="1"/>
    <x v="1"/>
    <n v="724"/>
  </r>
  <r>
    <s v="52 Pieces Cake Decorating Tool Set Gift Kit Baking Supplies"/>
    <n v="1758"/>
    <n v="2499"/>
    <x v="7"/>
    <n v="20"/>
    <x v="5"/>
    <x v="2"/>
    <x v="1"/>
    <n v="741"/>
  </r>
  <r>
    <s v="53Pcs/Set Yarn Knitting Crochet Hooks With Bag - Fortune Cat"/>
    <n v="1940"/>
    <n v="2650"/>
    <x v="5"/>
    <n v="20"/>
    <x v="2"/>
    <x v="1"/>
    <x v="1"/>
    <n v="710"/>
  </r>
  <r>
    <s v="Agapeon Toothbrush Holder And Toothpaste Dispenser"/>
    <n v="382"/>
    <n v="700"/>
    <x v="8"/>
    <n v="17"/>
    <x v="6"/>
    <x v="0"/>
    <x v="0"/>
    <n v="318"/>
  </r>
  <r>
    <s v="VIC Wireless Vacuum Cleaner Dual Use For Home And Car 120W High Power Powerful"/>
    <n v="1220"/>
    <n v="1555"/>
    <x v="9"/>
    <n v="16"/>
    <x v="7"/>
    <x v="0"/>
    <x v="1"/>
    <n v="335"/>
  </r>
  <r>
    <s v="Intelligent  LED Body Sensor Wireless Lighting Night Light USB"/>
    <n v="325"/>
    <n v="680"/>
    <x v="10"/>
    <n v="15"/>
    <x v="8"/>
    <x v="0"/>
    <x v="0"/>
    <n v="355"/>
  </r>
  <r>
    <s v="220V 60W Electric Soldering Iron Kits With Tools, Tips, And Multimeter"/>
    <n v="2999"/>
    <n v="3290"/>
    <x v="11"/>
    <n v="15"/>
    <x v="9"/>
    <x v="2"/>
    <x v="2"/>
    <n v="291"/>
  </r>
  <r>
    <s v="Metal Decorative Hooks Key Hangers Entryway Wall Hooks Towel Hooks - Home"/>
    <n v="527"/>
    <n v="999"/>
    <x v="12"/>
    <n v="14"/>
    <x v="5"/>
    <x v="2"/>
    <x v="0"/>
    <n v="472"/>
  </r>
  <r>
    <s v="Foldable Overbed Table/Desk"/>
    <n v="1650"/>
    <n v="2150"/>
    <x v="13"/>
    <n v="14"/>
    <x v="10"/>
    <x v="2"/>
    <x v="1"/>
    <n v="500"/>
  </r>
  <r>
    <s v="5-PCS Stainless Steel Cooking Pot Set With Steamed Slices"/>
    <n v="2115"/>
    <n v="4700"/>
    <x v="14"/>
    <n v="13"/>
    <x v="11"/>
    <x v="0"/>
    <x v="0"/>
    <n v="2585"/>
  </r>
  <r>
    <s v="3PCS Single Head Knitting Crochet Sweater Needle Set"/>
    <n v="38"/>
    <n v="80"/>
    <x v="15"/>
    <n v="13"/>
    <x v="12"/>
    <x v="2"/>
    <x v="0"/>
    <n v="42"/>
  </r>
  <r>
    <s v="12 Litre Black Insulated Lunch Box"/>
    <n v="1350"/>
    <n v="1990"/>
    <x v="16"/>
    <n v="13"/>
    <x v="13"/>
    <x v="2"/>
    <x v="1"/>
    <n v="640"/>
  </r>
  <r>
    <s v="40cm Gold DIY Acrylic Wall Sticker Clock"/>
    <n v="552"/>
    <n v="1035"/>
    <x v="12"/>
    <n v="12"/>
    <x v="14"/>
    <x v="1"/>
    <x v="0"/>
    <n v="483"/>
  </r>
  <r>
    <s v="12 Litre Insulated Lunch Box Grey"/>
    <n v="980"/>
    <n v="1490"/>
    <x v="3"/>
    <n v="12"/>
    <x v="2"/>
    <x v="1"/>
    <x v="1"/>
    <n v="510"/>
  </r>
  <r>
    <s v="Genebre 115 In 1 Screwdriver Repairing Tool Set For IPhone Cellphone Hand Tool"/>
    <n v="799"/>
    <n v="999"/>
    <x v="17"/>
    <n v="12"/>
    <x v="5"/>
    <x v="2"/>
    <x v="1"/>
    <n v="200"/>
  </r>
  <r>
    <s v="Portable Wardrobe Nonwoven With 3 Hanging Rods And 6 Storage Shelves"/>
    <n v="2880"/>
    <n v="3520"/>
    <x v="18"/>
    <n v="12"/>
    <x v="13"/>
    <x v="2"/>
    <x v="2"/>
    <n v="640"/>
  </r>
  <r>
    <s v="Mythco 120COB Solar Wall Ligt With Motion Sensor And Remote Control 3 Modes"/>
    <n v="458"/>
    <n v="986"/>
    <x v="19"/>
    <n v="10"/>
    <x v="15"/>
    <x v="2"/>
    <x v="0"/>
    <n v="528"/>
  </r>
  <r>
    <s v="Exfoliate And Exfoliate Face Towel - Black"/>
    <n v="185"/>
    <n v="382"/>
    <x v="10"/>
    <n v="9"/>
    <x v="3"/>
    <x v="2"/>
    <x v="0"/>
    <n v="197"/>
  </r>
  <r>
    <s v="LED Eye Protection  Desk Lamp , Study, Reading, USB Fan - Double Pen Holder"/>
    <n v="1820"/>
    <n v="3490"/>
    <x v="20"/>
    <n v="9"/>
    <x v="3"/>
    <x v="2"/>
    <x v="0"/>
    <n v="1670"/>
  </r>
  <r>
    <s v="Multifunction Laser Level With Adjustment Tripod"/>
    <n v="1680"/>
    <n v="2499"/>
    <x v="21"/>
    <n v="9"/>
    <x v="16"/>
    <x v="2"/>
    <x v="1"/>
    <n v="819"/>
  </r>
  <r>
    <s v="LASA 3 Tier Bamboo Shoe Bench Storage Shelf"/>
    <n v="2048"/>
    <n v="4500"/>
    <x v="19"/>
    <n v="7"/>
    <x v="3"/>
    <x v="2"/>
    <x v="0"/>
    <n v="2452"/>
  </r>
  <r>
    <s v="380ML USB Rechargeable Portable Small Blenders And Juicers"/>
    <n v="1000"/>
    <n v="2000"/>
    <x v="22"/>
    <n v="7"/>
    <x v="17"/>
    <x v="0"/>
    <x v="0"/>
    <n v="1000"/>
  </r>
  <r>
    <s v="Electric LED UV Mosquito Killer Lamp, Outdoor/Indoor Fly Killer Trap Light -USB"/>
    <n v="1570"/>
    <n v="2988"/>
    <x v="12"/>
    <n v="7"/>
    <x v="11"/>
    <x v="0"/>
    <x v="0"/>
    <n v="1418"/>
  </r>
  <r>
    <s v="Weighing Scale Digital Bathroom Body Fat Scale USB-Black"/>
    <n v="1580"/>
    <n v="2499"/>
    <x v="23"/>
    <n v="7"/>
    <x v="2"/>
    <x v="1"/>
    <x v="1"/>
    <n v="919"/>
  </r>
  <r>
    <s v="7-piece Set Of Storage Bags, Travel Storage Bags, Shoe Bags"/>
    <n v="968"/>
    <n v="1814"/>
    <x v="12"/>
    <n v="6"/>
    <x v="18"/>
    <x v="0"/>
    <x v="0"/>
    <n v="846"/>
  </r>
  <r>
    <s v="Artificial Potted Flowers Room Decorative Flowers (2 Pieces)"/>
    <n v="990"/>
    <n v="1814"/>
    <x v="8"/>
    <n v="6"/>
    <x v="18"/>
    <x v="0"/>
    <x v="0"/>
    <n v="824"/>
  </r>
  <r>
    <s v="Watercolour Gold Foil Textured Print Pillow Cover"/>
    <n v="345"/>
    <n v="602"/>
    <x v="24"/>
    <n v="6"/>
    <x v="17"/>
    <x v="0"/>
    <x v="0"/>
    <n v="257"/>
  </r>
  <r>
    <s v="LASA Digital Thermometer And Hydrometer"/>
    <n v="501"/>
    <n v="860"/>
    <x v="25"/>
    <n v="6"/>
    <x v="4"/>
    <x v="1"/>
    <x v="0"/>
    <n v="359"/>
  </r>
  <r>
    <s v="LED Romantic Spaceship Starry Sky Projector,Children's Bedroom Night Light-Blue"/>
    <n v="880"/>
    <n v="1350"/>
    <x v="2"/>
    <n v="6"/>
    <x v="9"/>
    <x v="2"/>
    <x v="1"/>
    <n v="470"/>
  </r>
  <r>
    <s v="5 Pieces/set Of Stainless Steel Induction Cooker Pots"/>
    <n v="2170"/>
    <n v="2500"/>
    <x v="26"/>
    <n v="6"/>
    <x v="19"/>
    <x v="0"/>
    <x v="2"/>
    <n v="330"/>
  </r>
  <r>
    <s v="LASA FOLDING TABLE SERVING STAND"/>
    <n v="1274"/>
    <n v="2800"/>
    <x v="14"/>
    <n v="5"/>
    <x v="14"/>
    <x v="1"/>
    <x v="0"/>
    <n v="1526"/>
  </r>
  <r>
    <s v="13 In 1 Home Repair Tools Box Kit Set"/>
    <n v="1600"/>
    <n v="2929"/>
    <x v="8"/>
    <n v="5"/>
    <x v="13"/>
    <x v="2"/>
    <x v="0"/>
    <n v="1329"/>
  </r>
  <r>
    <s v="Wrought Iron Bathroom Shelf Wall Mounted Free Punch Toilet Rack"/>
    <n v="509"/>
    <n v="899"/>
    <x v="24"/>
    <n v="5"/>
    <x v="15"/>
    <x v="2"/>
    <x v="0"/>
    <n v="390"/>
  </r>
  <r>
    <s v="32PCS Portable Cordless Drill Set With Cyclic Battery Drive -26 Variable Speed"/>
    <n v="3750"/>
    <n v="6143"/>
    <x v="27"/>
    <n v="5"/>
    <x v="15"/>
    <x v="2"/>
    <x v="1"/>
    <n v="2393"/>
  </r>
  <r>
    <s v="Large Lazy Inflatable Sofa Chairs PVC Lounger Seat Bag"/>
    <n v="2300"/>
    <n v="3240"/>
    <x v="28"/>
    <n v="5"/>
    <x v="15"/>
    <x v="2"/>
    <x v="1"/>
    <n v="940"/>
  </r>
  <r>
    <s v="Portable Home Small Air Humidifier 3-Speed Fan - Green"/>
    <n v="1740"/>
    <n v="2356"/>
    <x v="29"/>
    <n v="5"/>
    <x v="14"/>
    <x v="1"/>
    <x v="1"/>
    <n v="616"/>
  </r>
  <r>
    <s v="LED Wall Digital Alarm Clock Study Home 12 / 24H Clock Calendar"/>
    <n v="2999"/>
    <n v="3699"/>
    <x v="30"/>
    <n v="5"/>
    <x v="1"/>
    <x v="1"/>
    <x v="2"/>
    <n v="700"/>
  </r>
  <r>
    <s v="LASA Aluminum Folding Truck Hand Cart - 68kg Max"/>
    <n v="2025"/>
    <n v="3971"/>
    <x v="0"/>
    <n v="3"/>
    <x v="20"/>
    <x v="1"/>
    <x v="0"/>
    <n v="1946"/>
  </r>
  <r>
    <s v="Classic Black Cat Cotton Hemp Pillow Case For Home Car"/>
    <n v="171"/>
    <n v="360"/>
    <x v="15"/>
    <n v="2"/>
    <x v="20"/>
    <x v="1"/>
    <x v="0"/>
    <n v="189"/>
  </r>
  <r>
    <s v="Anti-Skid Absorbent Insulation Coaster  For Home Office"/>
    <n v="332"/>
    <n v="684"/>
    <x v="31"/>
    <n v="2"/>
    <x v="20"/>
    <x v="1"/>
    <x v="0"/>
    <n v="352"/>
  </r>
  <r>
    <s v="Peacock  Throw Pillow Cushion Case For Home Car"/>
    <n v="195"/>
    <n v="360"/>
    <x v="32"/>
    <n v="2"/>
    <x v="20"/>
    <x v="1"/>
    <x v="0"/>
    <n v="165"/>
  </r>
  <r>
    <s v="1/2/3 Seater Elastic Sofa Cover,Living Room/Home Decor Chair Cover-Grey"/>
    <n v="1800"/>
    <n v="2700"/>
    <x v="33"/>
    <n v="2"/>
    <x v="4"/>
    <x v="1"/>
    <x v="1"/>
    <n v="900"/>
  </r>
  <r>
    <s v="115  Piece Set Of Multifunctional Precision Screwdrivers"/>
    <n v="950"/>
    <n v="1525"/>
    <x v="33"/>
    <n v="2"/>
    <x v="4"/>
    <x v="1"/>
    <x v="1"/>
    <n v="575"/>
  </r>
  <r>
    <s v="Desk Foldable Fan Adjustable Fan Strong Wind 3 Gear Usb"/>
    <n v="988"/>
    <n v="1580"/>
    <x v="23"/>
    <n v="2"/>
    <x v="9"/>
    <x v="2"/>
    <x v="1"/>
    <n v="592"/>
  </r>
  <r>
    <s v="Wall-mounted Sticker Punch-free Plug Fixer"/>
    <n v="450"/>
    <n v="900"/>
    <x v="22"/>
    <n v="1"/>
    <x v="21"/>
    <x v="0"/>
    <x v="0"/>
    <n v="450"/>
  </r>
  <r>
    <s v="Household Pineapple Peeler Peeler"/>
    <n v="330"/>
    <n v="647"/>
    <x v="0"/>
    <n v="1"/>
    <x v="9"/>
    <x v="2"/>
    <x v="0"/>
    <n v="317"/>
  </r>
  <r>
    <s v="Bedroom Simple Floor Hanging Clothes Rack Single Pole Hat Rack - White"/>
    <n v="979"/>
    <n v="1920"/>
    <x v="0"/>
    <n v="1"/>
    <x v="20"/>
    <x v="1"/>
    <x v="0"/>
    <n v="941"/>
  </r>
  <r>
    <s v="Memory Foam Neck Pillow Cover, With Pillow Core - 50*30cm"/>
    <n v="1189"/>
    <n v="2199"/>
    <x v="32"/>
    <n v="1"/>
    <x v="15"/>
    <x v="2"/>
    <x v="0"/>
    <n v="1010"/>
  </r>
  <r>
    <s v="DIY File Folder, Office Drawer File Holder, Pen Holder, Desktop Storage Rack"/>
    <n v="1620"/>
    <n v="2690"/>
    <x v="34"/>
    <n v="1"/>
    <x v="20"/>
    <x v="1"/>
    <x v="1"/>
    <n v="1070"/>
  </r>
  <r>
    <s v="Konka Healty Electric Kettle, 24-hour Heat Preservation,1.5L,800W, White"/>
    <n v="3640"/>
    <n v="4588"/>
    <x v="35"/>
    <n v="1"/>
    <x v="20"/>
    <x v="1"/>
    <x v="1"/>
    <n v="948"/>
  </r>
  <r>
    <s v="6 In 1 Bottle Can Opener Multifunctional Easy Opener"/>
    <n v="199"/>
    <n v="553"/>
    <x v="36"/>
    <m/>
    <x v="22"/>
    <x v="3"/>
    <x v="0"/>
    <n v="354"/>
  </r>
  <r>
    <s v="Creative Owl Shape Keychain Black"/>
    <n v="199"/>
    <n v="504"/>
    <x v="37"/>
    <m/>
    <x v="22"/>
    <x v="3"/>
    <x v="0"/>
    <n v="305"/>
  </r>
  <r>
    <s v="Simple Metal Dog Art Sculpture Decoration For Home Office"/>
    <n v="399"/>
    <n v="896"/>
    <x v="14"/>
    <m/>
    <x v="22"/>
    <x v="3"/>
    <x v="0"/>
    <n v="497"/>
  </r>
  <r>
    <s v="2PCS Ice Silk Square Cushion Cover Pillowcases - 65x65cm"/>
    <n v="1200"/>
    <n v="2400"/>
    <x v="22"/>
    <m/>
    <x v="22"/>
    <x v="3"/>
    <x v="0"/>
    <n v="1200"/>
  </r>
  <r>
    <s v="Christmas Elk Fence Yard Lawn Decorations Cute For Holidays"/>
    <n v="999"/>
    <n v="2000"/>
    <x v="22"/>
    <m/>
    <x v="22"/>
    <x v="3"/>
    <x v="0"/>
    <n v="1001"/>
  </r>
  <r>
    <s v="Wall Clock With Hidden Safe Box"/>
    <n v="850"/>
    <n v="1700"/>
    <x v="22"/>
    <m/>
    <x v="22"/>
    <x v="3"/>
    <x v="0"/>
    <n v="850"/>
  </r>
  <r>
    <s v="Brush &amp; Paintbrush Cleaning Tool Pink"/>
    <n v="299"/>
    <n v="600"/>
    <x v="22"/>
    <m/>
    <x v="22"/>
    <x v="3"/>
    <x v="0"/>
    <n v="301"/>
  </r>
  <r>
    <s v="Modern Sofa Throw Pillow Cover-45x45cm-Blue&amp;Red"/>
    <n v="238"/>
    <n v="476"/>
    <x v="22"/>
    <m/>
    <x v="22"/>
    <x v="3"/>
    <x v="0"/>
    <n v="238"/>
  </r>
  <r>
    <s v="Angle Measuring Tool Full Metal Multi Angle Measuring Tool"/>
    <n v="799"/>
    <n v="1567"/>
    <x v="0"/>
    <m/>
    <x v="22"/>
    <x v="3"/>
    <x v="0"/>
    <n v="768"/>
  </r>
  <r>
    <s v="Car Phone Charging Stand"/>
    <n v="671"/>
    <n v="1316"/>
    <x v="0"/>
    <m/>
    <x v="22"/>
    <x v="3"/>
    <x v="0"/>
    <n v="645"/>
  </r>
  <r>
    <s v="Angle Measuring Tool Full Metal Multi Angle Measuring Tool"/>
    <n v="657"/>
    <n v="1288"/>
    <x v="0"/>
    <m/>
    <x v="22"/>
    <x v="3"/>
    <x v="0"/>
    <n v="631"/>
  </r>
  <r>
    <s v="Baby Early Education Shape And Color Cognitive Training Toys"/>
    <n v="525"/>
    <n v="1029"/>
    <x v="0"/>
    <m/>
    <x v="22"/>
    <x v="3"/>
    <x v="0"/>
    <n v="504"/>
  </r>
  <r>
    <s v="4M Float Switch Water Level Controller -Water Tank"/>
    <n v="475"/>
    <n v="931"/>
    <x v="0"/>
    <m/>
    <x v="22"/>
    <x v="3"/>
    <x v="0"/>
    <n v="456"/>
  </r>
  <r>
    <s v="Cartoon Car Decoration Cute Individuality For Car Home Desk"/>
    <n v="274"/>
    <n v="537"/>
    <x v="0"/>
    <m/>
    <x v="22"/>
    <x v="3"/>
    <x v="0"/>
    <n v="263"/>
  </r>
  <r>
    <s v="4 Piece Coloured Stainless Steel Kitchenware Set"/>
    <n v="248"/>
    <n v="486"/>
    <x v="0"/>
    <m/>
    <x v="22"/>
    <x v="3"/>
    <x v="0"/>
    <n v="238"/>
  </r>
  <r>
    <s v="7PCS Silicone Thumb Knife Finger Protector Vegetable Harvesting Knife"/>
    <n v="230"/>
    <n v="450"/>
    <x v="0"/>
    <m/>
    <x v="22"/>
    <x v="3"/>
    <x v="0"/>
    <n v="220"/>
  </r>
  <r>
    <s v="Creative Owl Shape Keychain Black"/>
    <n v="176"/>
    <n v="345"/>
    <x v="0"/>
    <m/>
    <x v="22"/>
    <x v="3"/>
    <x v="0"/>
    <n v="169"/>
  </r>
  <r>
    <s v="Portable Wine Table With Folding Round Table"/>
    <n v="1300"/>
    <n v="2500"/>
    <x v="20"/>
    <m/>
    <x v="22"/>
    <x v="3"/>
    <x v="0"/>
    <n v="1200"/>
  </r>
  <r>
    <s v="Christmas Fence Garden Decorations Outdoor For Holiday Home"/>
    <n v="699"/>
    <n v="1343"/>
    <x v="20"/>
    <m/>
    <x v="22"/>
    <x v="3"/>
    <x v="0"/>
    <n v="644"/>
  </r>
  <r>
    <s v="Sewing Machine Needle Threader Stitch Insertion Tool Automatic Quick Sewing"/>
    <n v="105"/>
    <n v="200"/>
    <x v="20"/>
    <m/>
    <x v="22"/>
    <x v="3"/>
    <x v="0"/>
    <n v="95"/>
  </r>
  <r>
    <s v="6 Layers Steel Pipe Assembling Dustproof Storage Shoe Cabinet"/>
    <n v="899"/>
    <n v="1699"/>
    <x v="12"/>
    <m/>
    <x v="22"/>
    <x v="3"/>
    <x v="0"/>
    <n v="800"/>
  </r>
  <r>
    <s v="2PCS/LOT Solar LED Outdoor Intelligent Light Controlled Wall Lamp"/>
    <n v="790"/>
    <n v="1485"/>
    <x v="12"/>
    <m/>
    <x v="22"/>
    <x v="3"/>
    <x v="0"/>
    <n v="695"/>
  </r>
  <r>
    <s v="Black Simple Water Cup Wine Coaster Anti Slip Absorbent"/>
    <n v="169"/>
    <n v="320"/>
    <x v="12"/>
    <m/>
    <x v="22"/>
    <x v="3"/>
    <x v="0"/>
    <n v="151"/>
  </r>
  <r>
    <s v="MultiFunctional Storage Rack Multi-layer Bookshelf"/>
    <n v="2200"/>
    <n v="4080"/>
    <x v="32"/>
    <m/>
    <x v="22"/>
    <x v="3"/>
    <x v="0"/>
    <n v="1880"/>
  </r>
  <r>
    <s v="Simple Metal Dog Art Sculpture Decoration For Home Office"/>
    <n v="499"/>
    <n v="900"/>
    <x v="8"/>
    <m/>
    <x v="22"/>
    <x v="3"/>
    <x v="0"/>
    <n v="401"/>
  </r>
  <r>
    <s v="3PCS Rotary Scraper Thermomix For Kitchen"/>
    <n v="690"/>
    <n v="1200"/>
    <x v="24"/>
    <m/>
    <x v="22"/>
    <x v="3"/>
    <x v="0"/>
    <n v="510"/>
  </r>
  <r>
    <s v="Multifunctional Hanging Storage Box Storage Bag (4 Layers)"/>
    <n v="630"/>
    <n v="1100"/>
    <x v="24"/>
    <m/>
    <x v="22"/>
    <x v="3"/>
    <x v="0"/>
    <n v="470"/>
  </r>
  <r>
    <s v="4pcs Bathroom/Kitchen Towel Rack,Roll Paper Holder,Towel Bars,Hook"/>
    <n v="1860"/>
    <n v="3220"/>
    <x v="25"/>
    <m/>
    <x v="22"/>
    <x v="3"/>
    <x v="0"/>
    <n v="1360"/>
  </r>
  <r>
    <s v="8in1 Screwdriver With LED Light"/>
    <n v="1080"/>
    <n v="1874"/>
    <x v="25"/>
    <m/>
    <x v="22"/>
    <x v="3"/>
    <x v="0"/>
    <n v="794"/>
  </r>
  <r>
    <s v="Balloon Insert, Birthday Party Balloon Set, PU Leather"/>
    <n v="610"/>
    <n v="1060"/>
    <x v="25"/>
    <m/>
    <x v="22"/>
    <x v="3"/>
    <x v="0"/>
    <n v="450"/>
  </r>
  <r>
    <s v="9pcs Gas Mask, For Painting, Dust, Formaldehyde Grinding, Polishing"/>
    <n v="1420"/>
    <n v="2420"/>
    <x v="4"/>
    <m/>
    <x v="22"/>
    <x v="3"/>
    <x v="0"/>
    <n v="1000"/>
  </r>
  <r>
    <s v="Cute Christmas Fence Garden Decorations For Holiday Home"/>
    <n v="799"/>
    <n v="1343"/>
    <x v="4"/>
    <m/>
    <x v="22"/>
    <x v="3"/>
    <x v="0"/>
    <n v="544"/>
  </r>
  <r>
    <s v="LASA Stainless Steel Double Wall Mount Soap Dispenser - 500ml"/>
    <n v="2750"/>
    <n v="4471"/>
    <x v="33"/>
    <m/>
    <x v="22"/>
    <x v="3"/>
    <x v="1"/>
    <n v="1721"/>
  </r>
  <r>
    <s v="2pcs Solar Street Light Flood Light Outdoor"/>
    <n v="1200"/>
    <n v="1950"/>
    <x v="33"/>
    <m/>
    <x v="22"/>
    <x v="3"/>
    <x v="1"/>
    <n v="750"/>
  </r>
  <r>
    <s v="5m Waterproof Spherical LED String Lights Outdoor Ball Chain Lights Party Lighting Decoration Adjustable"/>
    <n v="1460"/>
    <n v="2290"/>
    <x v="38"/>
    <m/>
    <x v="22"/>
    <x v="3"/>
    <x v="1"/>
    <n v="830"/>
  </r>
  <r>
    <s v="Cartoon Embroidered Mini Towel Bear Cotton Wash Cloth Hand 4pcs"/>
    <n v="1190"/>
    <n v="1810"/>
    <x v="3"/>
    <m/>
    <x v="22"/>
    <x v="3"/>
    <x v="1"/>
    <n v="620"/>
  </r>
  <r>
    <s v="LED Solar Street Light-fake Camera"/>
    <n v="1150"/>
    <n v="1737"/>
    <x v="3"/>
    <m/>
    <x v="22"/>
    <x v="3"/>
    <x v="1"/>
    <n v="587"/>
  </r>
  <r>
    <s v="60W Hot Melt Glue Sprayer - Efficient And Stable Glue Dispensing"/>
    <n v="1190"/>
    <n v="1785"/>
    <x v="21"/>
    <m/>
    <x v="22"/>
    <x v="3"/>
    <x v="1"/>
    <n v="595"/>
  </r>
  <r>
    <s v="12V 19500rpm Handheld Electric Angle Grinder Tool - UK - Yellow/Black"/>
    <n v="2799"/>
    <n v="3810"/>
    <x v="5"/>
    <m/>
    <x v="22"/>
    <x v="3"/>
    <x v="1"/>
    <n v="1011"/>
  </r>
  <r>
    <s v="1PC Refrigerator Food Seal Pocket Fridge Bags"/>
    <n v="198"/>
    <n v="260"/>
    <x v="1"/>
    <m/>
    <x v="22"/>
    <x v="3"/>
    <x v="1"/>
    <n v="62"/>
  </r>
  <r>
    <s v="Pilates Cloth Bag Waterproof Durable High Capacity Purple"/>
    <n v="299"/>
    <n v="384"/>
    <x v="9"/>
    <m/>
    <x v="22"/>
    <x v="3"/>
    <x v="1"/>
    <n v="85"/>
  </r>
  <r>
    <s v="Wall-Mounted Toothbrush Toothpaste Holder With Multiple Slots"/>
    <n v="1468"/>
    <n v="1699"/>
    <x v="39"/>
    <m/>
    <x v="22"/>
    <x v="3"/>
    <x v="2"/>
    <n v="231"/>
  </r>
  <r>
    <s v="Office Chair Lumbar Back Support Spine Posture Correction Pillow Car Cushion"/>
    <n v="1466"/>
    <n v="1699"/>
    <x v="39"/>
    <m/>
    <x v="22"/>
    <x v="3"/>
    <x v="2"/>
    <n v="233"/>
  </r>
  <r>
    <s v="Outdoor Portable Water Bottle With Medicine Box - 600ML - Black"/>
    <n v="799"/>
    <n v="900"/>
    <x v="40"/>
    <m/>
    <x v="22"/>
    <x v="3"/>
    <x v="2"/>
    <n v="101"/>
  </r>
  <r>
    <s v="Wall Mount Automatic Toothpaste Dispenser Toothbrush Holder Toothpaste Squeezer"/>
    <n v="1526"/>
    <n v="1660"/>
    <x v="41"/>
    <m/>
    <x v="22"/>
    <x v="3"/>
    <x v="2"/>
    <n v="134"/>
  </r>
  <r>
    <s v="Metal Wall Clock Silver Dial Crystal Jewelry Round Home Decoration Wall Clock"/>
    <n v="3546"/>
    <n v="3699"/>
    <x v="42"/>
    <m/>
    <x v="22"/>
    <x v="3"/>
    <x v="2"/>
    <n v="153"/>
  </r>
  <r>
    <s v="Cushion Silicone Butt Cushion Summer Ice Cushion Honeycomb Gel Cushion"/>
    <n v="1732"/>
    <n v="1799"/>
    <x v="42"/>
    <m/>
    <x v="22"/>
    <x v="3"/>
    <x v="2"/>
    <n v="67"/>
  </r>
  <r>
    <s v="Multi-purpose Rice Drainage Basket And Fruit And Vegetable Drainage Sieve"/>
    <n v="1459"/>
    <n v="1499"/>
    <x v="43"/>
    <m/>
    <x v="22"/>
    <x v="3"/>
    <x v="2"/>
    <n v="40"/>
  </r>
  <r>
    <s v="Shower Cap Wide Elastic Band Cover Reusable Bashroom Cap"/>
    <n v="2132"/>
    <n v="2169"/>
    <x v="44"/>
    <m/>
    <x v="22"/>
    <x v="3"/>
    <x v="2"/>
    <n v="37"/>
  </r>
  <r>
    <s v="Thickening Multipurpose Non Stick Easy To Clean Heat Resistant Spoon Pad"/>
    <n v="1768"/>
    <n v="1799"/>
    <x v="44"/>
    <m/>
    <x v="22"/>
    <x v="3"/>
    <x v="2"/>
    <n v="31"/>
  </r>
  <r>
    <s v="2 Pairs Cowhide Split Leather Work Gloves.32â„‰ Or Above Welding Gloves"/>
    <n v="1666"/>
    <n v="1699"/>
    <x v="44"/>
    <m/>
    <x v="22"/>
    <x v="3"/>
    <x v="2"/>
    <n v="33"/>
  </r>
  <r>
    <s v="Pen Grips For Kids Pen Grip Posture Correction Tool For Kids"/>
    <n v="1660"/>
    <n v="1699"/>
    <x v="44"/>
    <m/>
    <x v="22"/>
    <x v="3"/>
    <x v="2"/>
    <n v="39"/>
  </r>
  <r>
    <s v="Shower Nozzle Cleaning Unclogging Needle Mini Crevice Small Hole Cleaning Brush"/>
    <n v="1658"/>
    <n v="1699"/>
    <x v="44"/>
    <m/>
    <x v="22"/>
    <x v="3"/>
    <x v="2"/>
    <n v="41"/>
  </r>
  <r>
    <s v="Portable Soap Dispenser Kitchen Detergent Press Box Kitchen Tools"/>
    <n v="1462"/>
    <n v="1499"/>
    <x v="44"/>
    <m/>
    <x v="22"/>
    <x v="3"/>
    <x v="2"/>
    <n v="37"/>
  </r>
  <r>
    <s v="24 Grid Wall-mounted Sundries Organiser Fabric Closet Bag Storage Rack"/>
    <n v="1875"/>
    <n v="1899"/>
    <x v="45"/>
    <m/>
    <x v="22"/>
    <x v="3"/>
    <x v="2"/>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A12F07-60C6-4F2F-AB90-433995F3D85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9">
    <pivotField showAll="0"/>
    <pivotField showAll="0"/>
    <pivotField showAll="0"/>
    <pivotField dataField="1" numFmtId="9" showAll="0"/>
    <pivotField showAll="0"/>
    <pivotField dataField="1" showAll="0"/>
    <pivotField showAll="0">
      <items count="5">
        <item x="2"/>
        <item x="1"/>
        <item x="3"/>
        <item x="0"/>
        <item t="default"/>
      </items>
    </pivotField>
    <pivotField axis="axisRow" showAll="0">
      <items count="4">
        <item x="0"/>
        <item x="2"/>
        <item x="1"/>
        <item t="default"/>
      </items>
    </pivotField>
    <pivotField numFmtId="3" showAll="0"/>
  </pivotFields>
  <rowFields count="1">
    <field x="7"/>
  </rowFields>
  <rowItems count="4">
    <i>
      <x/>
    </i>
    <i>
      <x v="1"/>
    </i>
    <i>
      <x v="2"/>
    </i>
    <i t="grand">
      <x/>
    </i>
  </rowItems>
  <colFields count="1">
    <field x="-2"/>
  </colFields>
  <colItems count="2">
    <i>
      <x/>
    </i>
    <i i="1">
      <x v="1"/>
    </i>
  </colItems>
  <dataFields count="2">
    <dataField name="Average of Ratings" fld="5" subtotal="average" baseField="7" baseItem="0"/>
    <dataField name="Average of Discount" fld="3" subtotal="average" baseField="7" baseItem="0" numFmtId="9"/>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8A8904-75E1-44B5-B65D-732767961C7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9">
    <pivotField showAll="0"/>
    <pivotField showAll="0"/>
    <pivotField showAll="0"/>
    <pivotField axis="axisRow" numFmtId="9" showAll="0">
      <items count="10">
        <item x="0"/>
        <item x="1"/>
        <item x="2"/>
        <item x="3"/>
        <item x="4"/>
        <item x="5"/>
        <item x="6"/>
        <item x="7"/>
        <item x="8"/>
        <item t="default"/>
      </items>
    </pivotField>
    <pivotField dataField="1" showAll="0"/>
    <pivotField showAll="0"/>
    <pivotField showAll="0">
      <items count="5">
        <item x="2"/>
        <item x="1"/>
        <item x="3"/>
        <item x="0"/>
        <item t="default"/>
      </items>
    </pivotField>
    <pivotField showAll="0">
      <items count="4">
        <item x="0"/>
        <item x="2"/>
        <item x="1"/>
        <item t="default"/>
      </items>
    </pivotField>
    <pivotField numFmtId="3" showAll="0"/>
  </pivotFields>
  <rowFields count="1">
    <field x="3"/>
  </rowFields>
  <rowItems count="8">
    <i>
      <x v="1"/>
    </i>
    <i>
      <x v="2"/>
    </i>
    <i>
      <x v="3"/>
    </i>
    <i>
      <x v="4"/>
    </i>
    <i>
      <x v="5"/>
    </i>
    <i>
      <x v="6"/>
    </i>
    <i>
      <x v="7"/>
    </i>
    <i t="grand">
      <x/>
    </i>
  </rowItems>
  <colItems count="1">
    <i/>
  </colItems>
  <dataFields count="1">
    <dataField name="Count of Review" fld="4" subtotal="count" baseField="3" baseItem="0"/>
  </dataFields>
  <chartFormats count="16">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 chart="4" format="12">
      <pivotArea type="data" outline="0" fieldPosition="0">
        <references count="2">
          <reference field="4294967294" count="1" selected="0">
            <x v="0"/>
          </reference>
          <reference field="3" count="1" selected="0">
            <x v="3"/>
          </reference>
        </references>
      </pivotArea>
    </chartFormat>
    <chartFormat chart="4" format="13">
      <pivotArea type="data" outline="0" fieldPosition="0">
        <references count="2">
          <reference field="4294967294" count="1" selected="0">
            <x v="0"/>
          </reference>
          <reference field="3" count="1" selected="0">
            <x v="4"/>
          </reference>
        </references>
      </pivotArea>
    </chartFormat>
    <chartFormat chart="4" format="14">
      <pivotArea type="data" outline="0" fieldPosition="0">
        <references count="2">
          <reference field="4294967294" count="1" selected="0">
            <x v="0"/>
          </reference>
          <reference field="3" count="1" selected="0">
            <x v="5"/>
          </reference>
        </references>
      </pivotArea>
    </chartFormat>
    <chartFormat chart="4" format="15">
      <pivotArea type="data" outline="0" fieldPosition="0">
        <references count="2">
          <reference field="4294967294" count="1" selected="0">
            <x v="0"/>
          </reference>
          <reference field="3" count="1" selected="0">
            <x v="6"/>
          </reference>
        </references>
      </pivotArea>
    </chartFormat>
    <chartFormat chart="4" format="16">
      <pivotArea type="data" outline="0" fieldPosition="0">
        <references count="2">
          <reference field="4294967294" count="1" selected="0">
            <x v="0"/>
          </reference>
          <reference field="3" count="1" selected="0">
            <x v="7"/>
          </reference>
        </references>
      </pivotArea>
    </chartFormat>
    <chartFormat chart="0" format="1">
      <pivotArea type="data" outline="0" fieldPosition="0">
        <references count="2">
          <reference field="4294967294" count="1" selected="0">
            <x v="0"/>
          </reference>
          <reference field="3" count="1" selected="0">
            <x v="5"/>
          </reference>
        </references>
      </pivotArea>
    </chartFormat>
    <chartFormat chart="0" format="2">
      <pivotArea type="data" outline="0" fieldPosition="0">
        <references count="2">
          <reference field="4294967294" count="1" selected="0">
            <x v="0"/>
          </reference>
          <reference field="3" count="1" selected="0">
            <x v="6"/>
          </reference>
        </references>
      </pivotArea>
    </chartFormat>
    <chartFormat chart="0" format="3">
      <pivotArea type="data" outline="0" fieldPosition="0">
        <references count="2">
          <reference field="4294967294" count="1" selected="0">
            <x v="0"/>
          </reference>
          <reference field="3" count="1" selected="0">
            <x v="7"/>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 chart="0" format="6">
      <pivotArea type="data" outline="0" fieldPosition="0">
        <references count="2">
          <reference field="4294967294" count="1" selected="0">
            <x v="0"/>
          </reference>
          <reference field="3" count="1" selected="0">
            <x v="3"/>
          </reference>
        </references>
      </pivotArea>
    </chartFormat>
    <chartFormat chart="0"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169081-8D1D-41A6-BA62-650D04DD477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9">
    <pivotField showAll="0"/>
    <pivotField showAll="0"/>
    <pivotField showAll="0"/>
    <pivotField numFmtId="9" showAll="0"/>
    <pivotField dataField="1" showAll="0"/>
    <pivotField axis="axisRow" showAll="0">
      <items count="6">
        <item x="1"/>
        <item x="2"/>
        <item x="3"/>
        <item n="0" x="0"/>
        <item x="4"/>
        <item t="default"/>
      </items>
    </pivotField>
    <pivotField showAll="0">
      <items count="5">
        <item x="2"/>
        <item x="1"/>
        <item x="3"/>
        <item x="0"/>
        <item t="default"/>
      </items>
    </pivotField>
    <pivotField showAll="0">
      <items count="4">
        <item x="0"/>
        <item x="2"/>
        <item x="1"/>
        <item t="default"/>
      </items>
    </pivotField>
    <pivotField numFmtId="3" showAll="0"/>
  </pivotFields>
  <rowFields count="1">
    <field x="5"/>
  </rowFields>
  <rowItems count="5">
    <i>
      <x/>
    </i>
    <i>
      <x v="1"/>
    </i>
    <i>
      <x v="2"/>
    </i>
    <i>
      <x v="3"/>
    </i>
    <i t="grand">
      <x/>
    </i>
  </rowItems>
  <colItems count="1">
    <i/>
  </colItems>
  <dataFields count="1">
    <dataField name="Count of Review" fld="4" subtotal="count" baseField="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78AEAF-75E4-45E7-9200-712D1E55629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9">
    <pivotField showAll="0"/>
    <pivotField showAll="0"/>
    <pivotField showAll="0"/>
    <pivotField numFmtId="9" showAll="0"/>
    <pivotField dataField="1" showAll="0"/>
    <pivotField dataField="1" showAll="0"/>
    <pivotField showAll="0">
      <items count="5">
        <item x="2"/>
        <item x="1"/>
        <item x="3"/>
        <item x="0"/>
        <item t="default"/>
      </items>
    </pivotField>
    <pivotField axis="axisRow" showAll="0">
      <items count="4">
        <item x="0"/>
        <item x="2"/>
        <item x="1"/>
        <item t="default"/>
      </items>
    </pivotField>
    <pivotField numFmtId="3" showAll="0"/>
  </pivotFields>
  <rowFields count="1">
    <field x="7"/>
  </rowFields>
  <rowItems count="4">
    <i>
      <x/>
    </i>
    <i>
      <x v="1"/>
    </i>
    <i>
      <x v="2"/>
    </i>
    <i t="grand">
      <x/>
    </i>
  </rowItems>
  <colFields count="1">
    <field x="-2"/>
  </colFields>
  <colItems count="2">
    <i>
      <x/>
    </i>
    <i i="1">
      <x v="1"/>
    </i>
  </colItems>
  <dataFields count="2">
    <dataField name="Average of Ratings" fld="5" subtotal="average" baseField="7" baseItem="0"/>
    <dataField name="Count of Review" fld="4" subtotal="count" baseField="7"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DB10BDDA-1591-4867-B061-2D64BC5A9266}" sourceName="Discount Category">
  <pivotTables>
    <pivotTable tabId="6" name="PivotTable5"/>
    <pivotTable tabId="3" name="PivotTable2"/>
    <pivotTable tabId="2" name="PivotTable1"/>
    <pivotTable tabId="4" name="PivotTable3"/>
  </pivotTables>
  <data>
    <tabular pivotCacheId="169934884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EFD7B81A-4ACB-4940-9ED2-F6BED14DDEDB}" sourceName="Rating category">
  <pivotTables>
    <pivotTable tabId="3" name="PivotTable2"/>
    <pivotTable tabId="6" name="PivotTable5"/>
    <pivotTable tabId="2" name="PivotTable1"/>
    <pivotTable tabId="4" name="PivotTable3"/>
  </pivotTables>
  <data>
    <tabular pivotCacheId="169934884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1C160438-5553-44FB-9A0C-239E893B927D}" cache="Slicer_Discount_Category" caption="Discount Category" rowHeight="241300"/>
  <slicer name="Rating category" xr10:uid="{698A2B1E-4995-4A7D-AA9F-1A6518FAF39F}" cache="Slicer_Rating_category" caption="Rating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DD95DD-0F8A-4AC2-A8B8-39FF9FC10300}" name="Table1" displayName="Table1" ref="A1:I113" totalsRowShown="0">
  <sortState xmlns:xlrd2="http://schemas.microsoft.com/office/spreadsheetml/2017/richdata2" ref="A2:I113">
    <sortCondition descending="1" ref="E1:E113"/>
  </sortState>
  <tableColumns count="9">
    <tableColumn id="1" xr3:uid="{0250B2DD-ABCF-48D1-AAFB-B1AC480E1D8A}" name="Product"/>
    <tableColumn id="2" xr3:uid="{6E9AF408-F375-42C1-AB23-70BA2896B971}" name="Current price"/>
    <tableColumn id="3" xr3:uid="{652750F5-64F0-4772-80F0-16C13989C073}" name="old price"/>
    <tableColumn id="4" xr3:uid="{D7C49639-68C8-44BF-8109-B491F0E5686E}" name="Discount"/>
    <tableColumn id="5" xr3:uid="{F7D56C1B-0883-406A-BE3C-A0AE30A70D78}" name="Review"/>
    <tableColumn id="6" xr3:uid="{9F144E78-CD10-4301-A80B-C840DF680014}" name="Ratings"/>
    <tableColumn id="8" xr3:uid="{457B308B-E3D7-4B70-A857-E6699D386930}" name="Rating category" dataDxfId="2">
      <calculatedColumnFormula>IF(F2&lt;3,"Poor",IF(F2&lt;4.5,"Average","Excellent"))</calculatedColumnFormula>
    </tableColumn>
    <tableColumn id="9" xr3:uid="{9A44AF3A-9E6A-432F-A712-A143ACC91FD8}" name="Discount Category" dataDxfId="1">
      <calculatedColumnFormula>IF(D2&lt;20%,"Low Discount",IF(D2&lt;=40%,"Medium Discount","High Discount"))</calculatedColumnFormula>
    </tableColumn>
    <tableColumn id="7" xr3:uid="{9367D4DD-2FC6-4AA8-B7C2-E380A34D8279}" name="absolute discount amount" dataDxfId="0">
      <calculatedColumnFormula>Table1[[#This Row],[old price]]-Table1[[#This Row],[Current 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B71EE-0B06-48A5-82B2-1CA1716669B2}">
  <dimension ref="A3:E7"/>
  <sheetViews>
    <sheetView workbookViewId="0">
      <selection activeCell="B5" sqref="B5"/>
    </sheetView>
  </sheetViews>
  <sheetFormatPr defaultRowHeight="14.5" x14ac:dyDescent="0.35"/>
  <cols>
    <col min="1" max="1" width="15.6328125" bestFit="1" customWidth="1"/>
    <col min="2" max="2" width="16.36328125" bestFit="1" customWidth="1"/>
    <col min="3" max="3" width="17.7265625" bestFit="1" customWidth="1"/>
  </cols>
  <sheetData>
    <row r="3" spans="1:5" x14ac:dyDescent="0.35">
      <c r="A3" s="6" t="s">
        <v>124</v>
      </c>
      <c r="B3" t="s">
        <v>129</v>
      </c>
      <c r="C3" t="s">
        <v>130</v>
      </c>
    </row>
    <row r="4" spans="1:5" x14ac:dyDescent="0.35">
      <c r="A4" s="7" t="s">
        <v>125</v>
      </c>
      <c r="B4" s="11">
        <v>3.6133333333333328</v>
      </c>
      <c r="C4" s="1">
        <v>0.48338709677419334</v>
      </c>
    </row>
    <row r="5" spans="1:5" x14ac:dyDescent="0.35">
      <c r="A5" s="7" t="s">
        <v>126</v>
      </c>
      <c r="B5" s="11">
        <v>3.7250000000000001</v>
      </c>
      <c r="C5" s="1">
        <v>7.2222222222222243E-2</v>
      </c>
    </row>
    <row r="6" spans="1:5" x14ac:dyDescent="0.35">
      <c r="A6" s="7" t="s">
        <v>127</v>
      </c>
      <c r="B6" s="11">
        <v>4.2782608695652176</v>
      </c>
      <c r="C6" s="1">
        <v>0.31</v>
      </c>
      <c r="E6" s="1"/>
    </row>
    <row r="7" spans="1:5" x14ac:dyDescent="0.35">
      <c r="A7" s="7" t="s">
        <v>128</v>
      </c>
      <c r="B7" s="11">
        <v>3.8894736842105253</v>
      </c>
      <c r="C7" s="1">
        <v>0.3677678571428572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2C1BB-5A76-4575-860F-D91950675FA3}">
  <dimension ref="A1:N25"/>
  <sheetViews>
    <sheetView workbookViewId="0">
      <selection activeCell="N1" sqref="N1"/>
    </sheetView>
  </sheetViews>
  <sheetFormatPr defaultRowHeight="14.5" x14ac:dyDescent="0.35"/>
  <cols>
    <col min="1" max="1" width="12.36328125" bestFit="1" customWidth="1"/>
    <col min="2" max="2" width="14.54296875" bestFit="1" customWidth="1"/>
    <col min="14" max="14" width="57.54296875" customWidth="1"/>
  </cols>
  <sheetData>
    <row r="1" spans="1:14" ht="43.5" x14ac:dyDescent="0.35">
      <c r="N1" s="10" t="s">
        <v>148</v>
      </c>
    </row>
    <row r="3" spans="1:14" x14ac:dyDescent="0.35">
      <c r="A3" s="6" t="s">
        <v>124</v>
      </c>
      <c r="B3" t="s">
        <v>131</v>
      </c>
      <c r="N3" s="4" t="s">
        <v>145</v>
      </c>
    </row>
    <row r="4" spans="1:14" x14ac:dyDescent="0.35">
      <c r="A4" s="8" t="s">
        <v>132</v>
      </c>
      <c r="B4" s="11">
        <v>1</v>
      </c>
      <c r="N4" t="s">
        <v>112</v>
      </c>
    </row>
    <row r="5" spans="1:14" x14ac:dyDescent="0.35">
      <c r="A5" s="8" t="s">
        <v>133</v>
      </c>
      <c r="B5" s="11">
        <v>4</v>
      </c>
      <c r="N5" t="s">
        <v>73</v>
      </c>
    </row>
    <row r="6" spans="1:14" x14ac:dyDescent="0.35">
      <c r="A6" s="8" t="s">
        <v>134</v>
      </c>
      <c r="B6" s="11">
        <v>10</v>
      </c>
      <c r="N6" t="s">
        <v>45</v>
      </c>
    </row>
    <row r="7" spans="1:14" x14ac:dyDescent="0.35">
      <c r="A7" s="8" t="s">
        <v>135</v>
      </c>
      <c r="B7" s="11">
        <v>12</v>
      </c>
      <c r="N7" t="s">
        <v>19</v>
      </c>
    </row>
    <row r="8" spans="1:14" x14ac:dyDescent="0.35">
      <c r="A8" s="8" t="s">
        <v>136</v>
      </c>
      <c r="B8" s="11">
        <v>21</v>
      </c>
      <c r="N8" t="s">
        <v>79</v>
      </c>
    </row>
    <row r="9" spans="1:14" x14ac:dyDescent="0.35">
      <c r="A9" s="8" t="s">
        <v>137</v>
      </c>
      <c r="B9" s="11">
        <v>9</v>
      </c>
      <c r="N9" t="s">
        <v>38</v>
      </c>
    </row>
    <row r="10" spans="1:14" x14ac:dyDescent="0.35">
      <c r="A10" s="8" t="s">
        <v>138</v>
      </c>
      <c r="B10" s="11"/>
      <c r="N10" t="s">
        <v>32</v>
      </c>
    </row>
    <row r="11" spans="1:14" x14ac:dyDescent="0.35">
      <c r="A11" s="8" t="s">
        <v>128</v>
      </c>
      <c r="B11" s="11">
        <v>57</v>
      </c>
      <c r="N11" t="s">
        <v>43</v>
      </c>
    </row>
    <row r="12" spans="1:14" x14ac:dyDescent="0.35">
      <c r="N12" t="s">
        <v>15</v>
      </c>
    </row>
    <row r="13" spans="1:14" x14ac:dyDescent="0.35">
      <c r="N13" t="s">
        <v>49</v>
      </c>
    </row>
    <row r="15" spans="1:14" x14ac:dyDescent="0.35">
      <c r="N15" s="4" t="s">
        <v>146</v>
      </c>
    </row>
    <row r="16" spans="1:14" x14ac:dyDescent="0.35">
      <c r="N16" t="s">
        <v>61</v>
      </c>
    </row>
    <row r="17" spans="14:14" x14ac:dyDescent="0.35">
      <c r="N17" t="s">
        <v>60</v>
      </c>
    </row>
    <row r="18" spans="14:14" x14ac:dyDescent="0.35">
      <c r="N18" t="s">
        <v>59</v>
      </c>
    </row>
    <row r="19" spans="14:14" x14ac:dyDescent="0.35">
      <c r="N19" t="s">
        <v>58</v>
      </c>
    </row>
    <row r="20" spans="14:14" x14ac:dyDescent="0.35">
      <c r="N20" t="s">
        <v>57</v>
      </c>
    </row>
    <row r="21" spans="14:14" x14ac:dyDescent="0.35">
      <c r="N21" t="s">
        <v>56</v>
      </c>
    </row>
    <row r="22" spans="14:14" x14ac:dyDescent="0.35">
      <c r="N22" t="s">
        <v>55</v>
      </c>
    </row>
    <row r="23" spans="14:14" x14ac:dyDescent="0.35">
      <c r="N23" t="s">
        <v>54</v>
      </c>
    </row>
    <row r="24" spans="14:14" x14ac:dyDescent="0.35">
      <c r="N24" t="s">
        <v>52</v>
      </c>
    </row>
    <row r="25" spans="14:14" x14ac:dyDescent="0.35">
      <c r="N25" t="s">
        <v>53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C1229-80A6-44C4-B8BA-B12B0DF8553C}">
  <dimension ref="A1:M14"/>
  <sheetViews>
    <sheetView workbookViewId="0">
      <selection activeCell="M1" sqref="M1"/>
    </sheetView>
  </sheetViews>
  <sheetFormatPr defaultRowHeight="14.5" x14ac:dyDescent="0.35"/>
  <cols>
    <col min="1" max="1" width="12.36328125" bestFit="1" customWidth="1"/>
    <col min="2" max="2" width="14.54296875" bestFit="1" customWidth="1"/>
    <col min="13" max="13" width="53.90625" customWidth="1"/>
  </cols>
  <sheetData>
    <row r="1" spans="1:13" ht="43.5" x14ac:dyDescent="0.35">
      <c r="M1" s="10" t="s">
        <v>149</v>
      </c>
    </row>
    <row r="2" spans="1:13" x14ac:dyDescent="0.35">
      <c r="M2" s="4" t="s">
        <v>143</v>
      </c>
    </row>
    <row r="3" spans="1:13" x14ac:dyDescent="0.35">
      <c r="A3" s="6" t="s">
        <v>124</v>
      </c>
      <c r="B3" t="s">
        <v>131</v>
      </c>
      <c r="M3" t="s">
        <v>10</v>
      </c>
    </row>
    <row r="4" spans="1:13" x14ac:dyDescent="0.35">
      <c r="A4" s="7" t="s">
        <v>139</v>
      </c>
      <c r="B4" s="11">
        <v>12</v>
      </c>
      <c r="M4" t="s">
        <v>45</v>
      </c>
    </row>
    <row r="5" spans="1:13" x14ac:dyDescent="0.35">
      <c r="A5" s="7" t="s">
        <v>140</v>
      </c>
      <c r="B5" s="11">
        <v>9</v>
      </c>
      <c r="M5" t="s">
        <v>34</v>
      </c>
    </row>
    <row r="6" spans="1:13" x14ac:dyDescent="0.35">
      <c r="A6" s="7" t="s">
        <v>141</v>
      </c>
      <c r="B6" s="11">
        <v>36</v>
      </c>
      <c r="M6" t="s">
        <v>28</v>
      </c>
    </row>
    <row r="7" spans="1:13" x14ac:dyDescent="0.35">
      <c r="A7" s="7" t="s">
        <v>142</v>
      </c>
      <c r="B7" s="11"/>
      <c r="M7" t="s">
        <v>30</v>
      </c>
    </row>
    <row r="8" spans="1:13" x14ac:dyDescent="0.35">
      <c r="A8" s="7" t="s">
        <v>128</v>
      </c>
      <c r="B8" s="11">
        <v>57</v>
      </c>
    </row>
    <row r="9" spans="1:13" x14ac:dyDescent="0.35">
      <c r="M9" s="4" t="s">
        <v>144</v>
      </c>
    </row>
    <row r="10" spans="1:13" x14ac:dyDescent="0.35">
      <c r="M10" t="s">
        <v>5</v>
      </c>
    </row>
    <row r="11" spans="1:13" x14ac:dyDescent="0.35">
      <c r="M11" t="s">
        <v>7</v>
      </c>
    </row>
    <row r="12" spans="1:13" x14ac:dyDescent="0.35">
      <c r="M12" t="s">
        <v>13</v>
      </c>
    </row>
    <row r="13" spans="1:13" x14ac:dyDescent="0.35">
      <c r="M13" t="s">
        <v>14</v>
      </c>
    </row>
    <row r="14" spans="1:13" x14ac:dyDescent="0.35">
      <c r="M14" t="s">
        <v>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B1F94-5453-4E64-9CE1-506BFBBEB2A8}">
  <dimension ref="A3:C7"/>
  <sheetViews>
    <sheetView workbookViewId="0">
      <selection activeCell="C10" sqref="C10"/>
    </sheetView>
  </sheetViews>
  <sheetFormatPr defaultRowHeight="14.5" x14ac:dyDescent="0.35"/>
  <cols>
    <col min="1" max="1" width="15.6328125" bestFit="1" customWidth="1"/>
    <col min="2" max="2" width="16.36328125" bestFit="1" customWidth="1"/>
    <col min="3" max="3" width="14.54296875" bestFit="1" customWidth="1"/>
  </cols>
  <sheetData>
    <row r="3" spans="1:3" x14ac:dyDescent="0.35">
      <c r="A3" s="6" t="s">
        <v>124</v>
      </c>
      <c r="B3" t="s">
        <v>129</v>
      </c>
      <c r="C3" t="s">
        <v>131</v>
      </c>
    </row>
    <row r="4" spans="1:3" x14ac:dyDescent="0.35">
      <c r="A4" s="7" t="s">
        <v>125</v>
      </c>
      <c r="B4" s="11">
        <v>3.6133333333333328</v>
      </c>
      <c r="C4" s="11">
        <v>30</v>
      </c>
    </row>
    <row r="5" spans="1:3" x14ac:dyDescent="0.35">
      <c r="A5" s="7" t="s">
        <v>126</v>
      </c>
      <c r="B5" s="11">
        <v>3.7250000000000001</v>
      </c>
      <c r="C5" s="11">
        <v>4</v>
      </c>
    </row>
    <row r="6" spans="1:3" x14ac:dyDescent="0.35">
      <c r="A6" s="7" t="s">
        <v>127</v>
      </c>
      <c r="B6" s="11">
        <v>4.2782608695652176</v>
      </c>
      <c r="C6" s="11">
        <v>23</v>
      </c>
    </row>
    <row r="7" spans="1:3" x14ac:dyDescent="0.35">
      <c r="A7" s="7" t="s">
        <v>128</v>
      </c>
      <c r="B7" s="11">
        <v>3.8894736842105253</v>
      </c>
      <c r="C7" s="11">
        <v>57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5D70-CC83-4B80-97A6-AA765BC21A63}">
  <dimension ref="A1:K113"/>
  <sheetViews>
    <sheetView topLeftCell="B1" workbookViewId="0">
      <selection activeCell="G59" sqref="G59:G113"/>
    </sheetView>
  </sheetViews>
  <sheetFormatPr defaultRowHeight="14.5" x14ac:dyDescent="0.35"/>
  <cols>
    <col min="1" max="1" width="87.1796875" customWidth="1"/>
    <col min="2" max="2" width="13.81640625" customWidth="1"/>
    <col min="3" max="3" width="10" customWidth="1"/>
    <col min="4" max="4" width="10.1796875" customWidth="1"/>
    <col min="8" max="8" width="23.36328125" customWidth="1"/>
    <col min="9" max="10" width="17.36328125" customWidth="1"/>
    <col min="11" max="11" width="22.90625" customWidth="1"/>
    <col min="13" max="13" width="30.81640625" customWidth="1"/>
  </cols>
  <sheetData>
    <row r="1" spans="1:11" x14ac:dyDescent="0.35">
      <c r="A1" t="s">
        <v>0</v>
      </c>
      <c r="B1" t="s">
        <v>1</v>
      </c>
      <c r="C1" t="s">
        <v>2</v>
      </c>
      <c r="D1" t="s">
        <v>3</v>
      </c>
      <c r="E1" t="s">
        <v>4</v>
      </c>
      <c r="F1" t="s">
        <v>114</v>
      </c>
      <c r="G1" t="s">
        <v>116</v>
      </c>
      <c r="H1" s="4" t="s">
        <v>117</v>
      </c>
      <c r="I1" t="s">
        <v>115</v>
      </c>
    </row>
    <row r="2" spans="1:11" x14ac:dyDescent="0.35">
      <c r="A2" t="s">
        <v>61</v>
      </c>
      <c r="B2">
        <v>445</v>
      </c>
      <c r="C2">
        <v>873</v>
      </c>
      <c r="D2" s="1">
        <v>0.49</v>
      </c>
      <c r="E2">
        <v>69</v>
      </c>
      <c r="F2">
        <v>2.8</v>
      </c>
      <c r="G2" t="str">
        <f t="shared" ref="G2:G33" si="0">IF(F2&lt;3,"Poor",IF(F2&lt;4.5,"Average","Excellent"))</f>
        <v>Poor</v>
      </c>
      <c r="H2" t="str">
        <f t="shared" ref="H2:H33" si="1">IF(D2&lt;20%,"Low Discount",IF(D2&lt;=40%,"Medium Discount","High Discount"))</f>
        <v>High Discount</v>
      </c>
      <c r="I2" s="2">
        <f>Table1[[#This Row],[old price]]-Table1[[#This Row],[Current price]]</f>
        <v>428</v>
      </c>
    </row>
    <row r="3" spans="1:11" x14ac:dyDescent="0.35">
      <c r="A3" t="s">
        <v>60</v>
      </c>
      <c r="B3" s="2">
        <v>2319</v>
      </c>
      <c r="C3" s="2">
        <v>3032</v>
      </c>
      <c r="D3" s="1">
        <v>0.24</v>
      </c>
      <c r="E3">
        <v>55</v>
      </c>
      <c r="F3">
        <v>4.5999999999999996</v>
      </c>
      <c r="G3" t="str">
        <f t="shared" si="0"/>
        <v>Excellent</v>
      </c>
      <c r="H3" t="str">
        <f t="shared" si="1"/>
        <v>Medium Discount</v>
      </c>
      <c r="I3" s="2">
        <f>Table1[[#This Row],[old price]]-Table1[[#This Row],[Current price]]</f>
        <v>713</v>
      </c>
    </row>
    <row r="4" spans="1:11" x14ac:dyDescent="0.35">
      <c r="A4" t="s">
        <v>59</v>
      </c>
      <c r="B4">
        <v>420</v>
      </c>
      <c r="C4">
        <v>647</v>
      </c>
      <c r="D4" s="1">
        <v>0.35</v>
      </c>
      <c r="E4">
        <v>49</v>
      </c>
      <c r="F4">
        <v>4.5999999999999996</v>
      </c>
      <c r="G4" t="str">
        <f t="shared" si="0"/>
        <v>Excellent</v>
      </c>
      <c r="H4" t="str">
        <f t="shared" si="1"/>
        <v>Medium Discount</v>
      </c>
      <c r="I4" s="2">
        <f>Table1[[#This Row],[old price]]-Table1[[#This Row],[Current price]]</f>
        <v>227</v>
      </c>
    </row>
    <row r="5" spans="1:11" x14ac:dyDescent="0.35">
      <c r="A5" t="s">
        <v>58</v>
      </c>
      <c r="B5">
        <v>998</v>
      </c>
      <c r="C5" s="2">
        <v>1966</v>
      </c>
      <c r="D5" s="1">
        <v>0.49</v>
      </c>
      <c r="E5">
        <v>44</v>
      </c>
      <c r="F5">
        <v>4.5999999999999996</v>
      </c>
      <c r="G5" t="str">
        <f t="shared" si="0"/>
        <v>Excellent</v>
      </c>
      <c r="H5" t="str">
        <f t="shared" si="1"/>
        <v>High Discount</v>
      </c>
      <c r="I5" s="2">
        <f>Table1[[#This Row],[old price]]-Table1[[#This Row],[Current price]]</f>
        <v>968</v>
      </c>
    </row>
    <row r="6" spans="1:11" x14ac:dyDescent="0.35">
      <c r="A6" t="s">
        <v>57</v>
      </c>
      <c r="B6">
        <v>990</v>
      </c>
      <c r="C6" s="2">
        <v>1500</v>
      </c>
      <c r="D6" s="1">
        <v>0.34</v>
      </c>
      <c r="E6">
        <v>39</v>
      </c>
      <c r="F6">
        <v>4.7</v>
      </c>
      <c r="G6" t="str">
        <f t="shared" si="0"/>
        <v>Excellent</v>
      </c>
      <c r="H6" t="str">
        <f t="shared" si="1"/>
        <v>Medium Discount</v>
      </c>
      <c r="I6" s="2">
        <f>Table1[[#This Row],[old price]]-Table1[[#This Row],[Current price]]</f>
        <v>510</v>
      </c>
    </row>
    <row r="7" spans="1:11" x14ac:dyDescent="0.35">
      <c r="A7" t="s">
        <v>56</v>
      </c>
      <c r="B7">
        <v>389</v>
      </c>
      <c r="C7">
        <v>656</v>
      </c>
      <c r="D7" s="1">
        <v>0.41</v>
      </c>
      <c r="E7">
        <v>36</v>
      </c>
      <c r="F7">
        <v>4.3</v>
      </c>
      <c r="G7" t="str">
        <f t="shared" si="0"/>
        <v>Average</v>
      </c>
      <c r="H7" t="str">
        <f t="shared" si="1"/>
        <v>High Discount</v>
      </c>
      <c r="I7" s="2">
        <f>Table1[[#This Row],[old price]]-Table1[[#This Row],[Current price]]</f>
        <v>267</v>
      </c>
      <c r="K7" t="s">
        <v>118</v>
      </c>
    </row>
    <row r="8" spans="1:11" x14ac:dyDescent="0.35">
      <c r="A8" t="s">
        <v>55</v>
      </c>
      <c r="B8" s="2">
        <v>1980</v>
      </c>
      <c r="C8" s="2">
        <v>2699</v>
      </c>
      <c r="D8" s="1">
        <v>0.27</v>
      </c>
      <c r="E8">
        <v>32</v>
      </c>
      <c r="F8">
        <v>4.5</v>
      </c>
      <c r="G8" t="str">
        <f t="shared" si="0"/>
        <v>Excellent</v>
      </c>
      <c r="H8" t="str">
        <f t="shared" si="1"/>
        <v>Medium Discount</v>
      </c>
      <c r="I8" s="2">
        <f>Table1[[#This Row],[old price]]-Table1[[#This Row],[Current price]]</f>
        <v>719</v>
      </c>
      <c r="K8">
        <f>AVERAGE(B:B)</f>
        <v>1186.8928571428571</v>
      </c>
    </row>
    <row r="9" spans="1:11" x14ac:dyDescent="0.35">
      <c r="A9" t="s">
        <v>54</v>
      </c>
      <c r="B9" s="2">
        <v>2199</v>
      </c>
      <c r="C9" s="2">
        <v>2923</v>
      </c>
      <c r="D9" s="1">
        <v>0.25</v>
      </c>
      <c r="E9">
        <v>24</v>
      </c>
      <c r="F9">
        <v>4.5999999999999996</v>
      </c>
      <c r="G9" t="str">
        <f t="shared" si="0"/>
        <v>Excellent</v>
      </c>
      <c r="H9" t="str">
        <f t="shared" si="1"/>
        <v>Medium Discount</v>
      </c>
      <c r="I9" s="2">
        <f>Table1[[#This Row],[old price]]-Table1[[#This Row],[Current price]]</f>
        <v>724</v>
      </c>
      <c r="K9" t="s">
        <v>119</v>
      </c>
    </row>
    <row r="10" spans="1:11" x14ac:dyDescent="0.35">
      <c r="A10" t="s">
        <v>52</v>
      </c>
      <c r="B10" s="2">
        <v>1758</v>
      </c>
      <c r="C10" s="2">
        <v>2499</v>
      </c>
      <c r="D10" s="1">
        <v>0.3</v>
      </c>
      <c r="E10">
        <v>20</v>
      </c>
      <c r="F10">
        <v>4.0999999999999996</v>
      </c>
      <c r="G10" t="str">
        <f t="shared" si="0"/>
        <v>Average</v>
      </c>
      <c r="H10" t="str">
        <f t="shared" si="1"/>
        <v>Medium Discount</v>
      </c>
      <c r="I10" s="2">
        <f>Table1[[#This Row],[old price]]-Table1[[#This Row],[Current price]]</f>
        <v>741</v>
      </c>
      <c r="K10">
        <f>AVERAGE(C:C)</f>
        <v>1811.1071428571429</v>
      </c>
    </row>
    <row r="11" spans="1:11" x14ac:dyDescent="0.35">
      <c r="A11" t="s">
        <v>53</v>
      </c>
      <c r="B11" s="2">
        <v>1940</v>
      </c>
      <c r="C11" s="2">
        <v>2650</v>
      </c>
      <c r="D11" s="1">
        <v>0.27</v>
      </c>
      <c r="E11">
        <v>20</v>
      </c>
      <c r="F11">
        <v>4.7</v>
      </c>
      <c r="G11" t="str">
        <f t="shared" si="0"/>
        <v>Excellent</v>
      </c>
      <c r="H11" t="str">
        <f t="shared" si="1"/>
        <v>Medium Discount</v>
      </c>
      <c r="I11" s="2">
        <f>Table1[[#This Row],[old price]]-Table1[[#This Row],[Current price]]</f>
        <v>710</v>
      </c>
      <c r="K11" t="s">
        <v>120</v>
      </c>
    </row>
    <row r="12" spans="1:11" x14ac:dyDescent="0.35">
      <c r="A12" t="s">
        <v>51</v>
      </c>
      <c r="B12">
        <v>382</v>
      </c>
      <c r="C12">
        <v>700</v>
      </c>
      <c r="D12" s="1">
        <v>0.45</v>
      </c>
      <c r="E12">
        <v>17</v>
      </c>
      <c r="F12">
        <v>2.6</v>
      </c>
      <c r="G12" t="str">
        <f t="shared" si="0"/>
        <v>Poor</v>
      </c>
      <c r="H12" t="str">
        <f t="shared" si="1"/>
        <v>High Discount</v>
      </c>
      <c r="I12" s="2">
        <f>Table1[[#This Row],[old price]]-Table1[[#This Row],[Current price]]</f>
        <v>318</v>
      </c>
      <c r="K12">
        <f>AVERAGE(F:F)</f>
        <v>3.8894736842105266</v>
      </c>
    </row>
    <row r="13" spans="1:11" x14ac:dyDescent="0.35">
      <c r="A13" t="s">
        <v>50</v>
      </c>
      <c r="B13" s="2">
        <v>1220</v>
      </c>
      <c r="C13" s="2">
        <v>1555</v>
      </c>
      <c r="D13" s="1">
        <v>0.22</v>
      </c>
      <c r="E13">
        <v>16</v>
      </c>
      <c r="F13">
        <v>2.9</v>
      </c>
      <c r="G13" t="str">
        <f t="shared" si="0"/>
        <v>Poor</v>
      </c>
      <c r="H13" t="str">
        <f t="shared" si="1"/>
        <v>Medium Discount</v>
      </c>
      <c r="I13" s="2">
        <f>Table1[[#This Row],[old price]]-Table1[[#This Row],[Current price]]</f>
        <v>335</v>
      </c>
      <c r="K13" t="s">
        <v>121</v>
      </c>
    </row>
    <row r="14" spans="1:11" x14ac:dyDescent="0.35">
      <c r="A14" t="s">
        <v>49</v>
      </c>
      <c r="B14">
        <v>325</v>
      </c>
      <c r="C14">
        <v>680</v>
      </c>
      <c r="D14" s="1">
        <v>0.52</v>
      </c>
      <c r="E14">
        <v>15</v>
      </c>
      <c r="F14">
        <v>2.7</v>
      </c>
      <c r="G14" t="str">
        <f t="shared" si="0"/>
        <v>Poor</v>
      </c>
      <c r="H14" t="str">
        <f t="shared" si="1"/>
        <v>High Discount</v>
      </c>
      <c r="I14" s="2">
        <f>Table1[[#This Row],[old price]]-Table1[[#This Row],[Current price]]</f>
        <v>355</v>
      </c>
      <c r="K14" s="5">
        <v>0.3677678571428572</v>
      </c>
    </row>
    <row r="15" spans="1:11" x14ac:dyDescent="0.35">
      <c r="A15" t="s">
        <v>48</v>
      </c>
      <c r="B15" s="2">
        <v>2999</v>
      </c>
      <c r="C15" s="2">
        <v>3290</v>
      </c>
      <c r="D15" s="1">
        <v>0.09</v>
      </c>
      <c r="E15">
        <v>15</v>
      </c>
      <c r="F15">
        <v>4</v>
      </c>
      <c r="G15" t="str">
        <f t="shared" si="0"/>
        <v>Average</v>
      </c>
      <c r="H15" t="str">
        <f t="shared" si="1"/>
        <v>Low Discount</v>
      </c>
      <c r="I15" s="2">
        <f>Table1[[#This Row],[old price]]-Table1[[#This Row],[Current price]]</f>
        <v>291</v>
      </c>
    </row>
    <row r="16" spans="1:11" x14ac:dyDescent="0.35">
      <c r="A16" t="s">
        <v>46</v>
      </c>
      <c r="B16">
        <v>527</v>
      </c>
      <c r="C16">
        <v>999</v>
      </c>
      <c r="D16" s="1">
        <v>0.47</v>
      </c>
      <c r="E16">
        <v>14</v>
      </c>
      <c r="F16">
        <v>4.0999999999999996</v>
      </c>
      <c r="G16" t="str">
        <f t="shared" si="0"/>
        <v>Average</v>
      </c>
      <c r="H16" t="str">
        <f t="shared" si="1"/>
        <v>High Discount</v>
      </c>
      <c r="I16" s="2">
        <f>Table1[[#This Row],[old price]]-Table1[[#This Row],[Current price]]</f>
        <v>472</v>
      </c>
      <c r="K16" t="s">
        <v>122</v>
      </c>
    </row>
    <row r="17" spans="1:11" x14ac:dyDescent="0.35">
      <c r="A17" t="s">
        <v>47</v>
      </c>
      <c r="B17" s="2">
        <v>1650</v>
      </c>
      <c r="C17" s="2">
        <v>2150</v>
      </c>
      <c r="D17" s="1">
        <v>0.23</v>
      </c>
      <c r="E17">
        <v>14</v>
      </c>
      <c r="F17">
        <v>4.4000000000000004</v>
      </c>
      <c r="G17" t="str">
        <f t="shared" si="0"/>
        <v>Average</v>
      </c>
      <c r="H17" t="str">
        <f t="shared" si="1"/>
        <v>Medium Discount</v>
      </c>
      <c r="I17" s="2">
        <f>Table1[[#This Row],[old price]]-Table1[[#This Row],[Current price]]</f>
        <v>500</v>
      </c>
      <c r="K17" t="s">
        <v>22</v>
      </c>
    </row>
    <row r="18" spans="1:11" x14ac:dyDescent="0.35">
      <c r="A18" t="s">
        <v>45</v>
      </c>
      <c r="B18" s="2">
        <v>2115</v>
      </c>
      <c r="C18" s="2">
        <v>4700</v>
      </c>
      <c r="D18" s="1">
        <v>0.55000000000000004</v>
      </c>
      <c r="E18">
        <f>13*1</f>
        <v>13</v>
      </c>
      <c r="F18">
        <v>2.1</v>
      </c>
      <c r="G18" t="str">
        <f t="shared" si="0"/>
        <v>Poor</v>
      </c>
      <c r="H18" t="str">
        <f t="shared" si="1"/>
        <v>High Discount</v>
      </c>
      <c r="I18" s="2">
        <f>Table1[[#This Row],[old price]]-Table1[[#This Row],[Current price]]</f>
        <v>2585</v>
      </c>
    </row>
    <row r="19" spans="1:11" x14ac:dyDescent="0.35">
      <c r="A19" t="s">
        <v>43</v>
      </c>
      <c r="B19">
        <v>38</v>
      </c>
      <c r="C19">
        <v>80</v>
      </c>
      <c r="D19" s="1">
        <v>0.53</v>
      </c>
      <c r="E19">
        <v>13</v>
      </c>
      <c r="F19">
        <v>3.3</v>
      </c>
      <c r="G19" t="str">
        <f t="shared" si="0"/>
        <v>Average</v>
      </c>
      <c r="H19" t="str">
        <f t="shared" si="1"/>
        <v>High Discount</v>
      </c>
      <c r="I19" s="2">
        <f>Table1[[#This Row],[old price]]-Table1[[#This Row],[Current price]]</f>
        <v>42</v>
      </c>
      <c r="K19" t="s">
        <v>123</v>
      </c>
    </row>
    <row r="20" spans="1:11" x14ac:dyDescent="0.35">
      <c r="A20" t="s">
        <v>44</v>
      </c>
      <c r="B20" s="2">
        <v>1350</v>
      </c>
      <c r="C20" s="2">
        <v>1990</v>
      </c>
      <c r="D20" s="1">
        <v>0.32</v>
      </c>
      <c r="E20">
        <v>13</v>
      </c>
      <c r="F20">
        <v>3.8</v>
      </c>
      <c r="G20" t="str">
        <f t="shared" si="0"/>
        <v>Average</v>
      </c>
      <c r="H20" t="str">
        <f t="shared" si="1"/>
        <v>Medium Discount</v>
      </c>
      <c r="I20" s="2">
        <f>Table1[[#This Row],[old price]]-Table1[[#This Row],[Current price]]</f>
        <v>640</v>
      </c>
      <c r="K20" s="3" t="s">
        <v>43</v>
      </c>
    </row>
    <row r="21" spans="1:11" x14ac:dyDescent="0.35">
      <c r="A21" t="s">
        <v>40</v>
      </c>
      <c r="B21">
        <v>552</v>
      </c>
      <c r="C21" s="2">
        <v>1035</v>
      </c>
      <c r="D21" s="1">
        <v>0.47</v>
      </c>
      <c r="E21">
        <v>12</v>
      </c>
      <c r="F21">
        <v>4.8</v>
      </c>
      <c r="G21" t="str">
        <f t="shared" si="0"/>
        <v>Excellent</v>
      </c>
      <c r="H21" t="str">
        <f t="shared" si="1"/>
        <v>High Discount</v>
      </c>
      <c r="I21" s="2">
        <f>Table1[[#This Row],[old price]]-Table1[[#This Row],[Current price]]</f>
        <v>483</v>
      </c>
    </row>
    <row r="22" spans="1:11" x14ac:dyDescent="0.35">
      <c r="A22" t="s">
        <v>42</v>
      </c>
      <c r="B22">
        <v>980</v>
      </c>
      <c r="C22" s="2">
        <v>1490</v>
      </c>
      <c r="D22" s="1">
        <v>0.34</v>
      </c>
      <c r="E22">
        <v>12</v>
      </c>
      <c r="F22">
        <v>4.7</v>
      </c>
      <c r="G22" t="str">
        <f t="shared" si="0"/>
        <v>Excellent</v>
      </c>
      <c r="H22" t="str">
        <f t="shared" si="1"/>
        <v>Medium Discount</v>
      </c>
      <c r="I22" s="2">
        <f>Table1[[#This Row],[old price]]-Table1[[#This Row],[Current price]]</f>
        <v>510</v>
      </c>
    </row>
    <row r="23" spans="1:11" x14ac:dyDescent="0.35">
      <c r="A23" t="s">
        <v>39</v>
      </c>
      <c r="B23">
        <v>799</v>
      </c>
      <c r="C23">
        <v>999</v>
      </c>
      <c r="D23" s="1">
        <v>0.2</v>
      </c>
      <c r="E23">
        <v>12</v>
      </c>
      <c r="F23">
        <v>4.0999999999999996</v>
      </c>
      <c r="G23" t="str">
        <f t="shared" si="0"/>
        <v>Average</v>
      </c>
      <c r="H23" t="str">
        <f t="shared" si="1"/>
        <v>Medium Discount</v>
      </c>
      <c r="I23" s="2">
        <f>Table1[[#This Row],[old price]]-Table1[[#This Row],[Current price]]</f>
        <v>200</v>
      </c>
    </row>
    <row r="24" spans="1:11" x14ac:dyDescent="0.35">
      <c r="A24" t="s">
        <v>41</v>
      </c>
      <c r="B24" s="2">
        <v>2880</v>
      </c>
      <c r="C24" s="2">
        <v>3520</v>
      </c>
      <c r="D24" s="1">
        <v>0.18</v>
      </c>
      <c r="E24">
        <v>12</v>
      </c>
      <c r="F24">
        <v>3.8</v>
      </c>
      <c r="G24" t="str">
        <f t="shared" si="0"/>
        <v>Average</v>
      </c>
      <c r="H24" t="str">
        <f t="shared" si="1"/>
        <v>Low Discount</v>
      </c>
      <c r="I24" s="2">
        <f>Table1[[#This Row],[old price]]-Table1[[#This Row],[Current price]]</f>
        <v>640</v>
      </c>
    </row>
    <row r="25" spans="1:11" x14ac:dyDescent="0.35">
      <c r="A25" t="s">
        <v>38</v>
      </c>
      <c r="B25">
        <v>458</v>
      </c>
      <c r="C25">
        <v>986</v>
      </c>
      <c r="D25" s="1">
        <v>0.54</v>
      </c>
      <c r="E25">
        <v>10</v>
      </c>
      <c r="F25">
        <v>3</v>
      </c>
      <c r="G25" t="str">
        <f t="shared" si="0"/>
        <v>Average</v>
      </c>
      <c r="H25" t="str">
        <f t="shared" si="1"/>
        <v>High Discount</v>
      </c>
      <c r="I25" s="2">
        <f>Table1[[#This Row],[old price]]-Table1[[#This Row],[Current price]]</f>
        <v>528</v>
      </c>
    </row>
    <row r="26" spans="1:11" x14ac:dyDescent="0.35">
      <c r="A26" t="s">
        <v>36</v>
      </c>
      <c r="B26">
        <v>185</v>
      </c>
      <c r="C26">
        <v>382</v>
      </c>
      <c r="D26" s="1">
        <v>0.52</v>
      </c>
      <c r="E26">
        <v>9</v>
      </c>
      <c r="F26">
        <v>4.3</v>
      </c>
      <c r="G26" t="str">
        <f t="shared" si="0"/>
        <v>Average</v>
      </c>
      <c r="H26" t="str">
        <f t="shared" si="1"/>
        <v>High Discount</v>
      </c>
      <c r="I26" s="2">
        <f>Table1[[#This Row],[old price]]-Table1[[#This Row],[Current price]]</f>
        <v>197</v>
      </c>
    </row>
    <row r="27" spans="1:11" x14ac:dyDescent="0.35">
      <c r="A27" t="s">
        <v>37</v>
      </c>
      <c r="B27" s="2">
        <v>1820</v>
      </c>
      <c r="C27" s="2">
        <v>3490</v>
      </c>
      <c r="D27" s="1">
        <v>0.48</v>
      </c>
      <c r="E27">
        <v>9</v>
      </c>
      <c r="F27">
        <v>4.3</v>
      </c>
      <c r="G27" t="str">
        <f t="shared" si="0"/>
        <v>Average</v>
      </c>
      <c r="H27" t="str">
        <f t="shared" si="1"/>
        <v>High Discount</v>
      </c>
      <c r="I27" s="2">
        <f>Table1[[#This Row],[old price]]-Table1[[#This Row],[Current price]]</f>
        <v>1670</v>
      </c>
    </row>
    <row r="28" spans="1:11" x14ac:dyDescent="0.35">
      <c r="A28" t="s">
        <v>35</v>
      </c>
      <c r="B28" s="2">
        <v>1680</v>
      </c>
      <c r="C28" s="2">
        <v>2499</v>
      </c>
      <c r="D28" s="1">
        <v>0.33</v>
      </c>
      <c r="E28">
        <v>9</v>
      </c>
      <c r="F28">
        <v>4.2</v>
      </c>
      <c r="G28" t="str">
        <f t="shared" si="0"/>
        <v>Average</v>
      </c>
      <c r="H28" t="str">
        <f t="shared" si="1"/>
        <v>Medium Discount</v>
      </c>
      <c r="I28" s="2">
        <f>Table1[[#This Row],[old price]]-Table1[[#This Row],[Current price]]</f>
        <v>819</v>
      </c>
    </row>
    <row r="29" spans="1:11" x14ac:dyDescent="0.35">
      <c r="A29" t="s">
        <v>32</v>
      </c>
      <c r="B29" s="2">
        <v>2048</v>
      </c>
      <c r="C29" s="2">
        <v>4500</v>
      </c>
      <c r="D29" s="1">
        <v>0.54</v>
      </c>
      <c r="E29">
        <v>7</v>
      </c>
      <c r="F29">
        <v>4.3</v>
      </c>
      <c r="G29" t="str">
        <f t="shared" si="0"/>
        <v>Average</v>
      </c>
      <c r="H29" t="str">
        <f t="shared" si="1"/>
        <v>High Discount</v>
      </c>
      <c r="I29" s="2">
        <f>Table1[[#This Row],[old price]]-Table1[[#This Row],[Current price]]</f>
        <v>2452</v>
      </c>
    </row>
    <row r="30" spans="1:11" x14ac:dyDescent="0.35">
      <c r="A30" t="s">
        <v>33</v>
      </c>
      <c r="B30" s="2">
        <v>1000</v>
      </c>
      <c r="C30" s="2">
        <v>2000</v>
      </c>
      <c r="D30" s="1">
        <v>0.5</v>
      </c>
      <c r="E30">
        <v>7</v>
      </c>
      <c r="F30">
        <v>2.2999999999999998</v>
      </c>
      <c r="G30" t="str">
        <f t="shared" si="0"/>
        <v>Poor</v>
      </c>
      <c r="H30" t="str">
        <f t="shared" si="1"/>
        <v>High Discount</v>
      </c>
      <c r="I30" s="2">
        <f>Table1[[#This Row],[old price]]-Table1[[#This Row],[Current price]]</f>
        <v>1000</v>
      </c>
    </row>
    <row r="31" spans="1:11" x14ac:dyDescent="0.35">
      <c r="A31" t="s">
        <v>34</v>
      </c>
      <c r="B31" s="2">
        <v>1570</v>
      </c>
      <c r="C31" s="2">
        <v>2988</v>
      </c>
      <c r="D31" s="1">
        <v>0.47</v>
      </c>
      <c r="E31">
        <v>7</v>
      </c>
      <c r="F31">
        <v>2.1</v>
      </c>
      <c r="G31" t="str">
        <f t="shared" si="0"/>
        <v>Poor</v>
      </c>
      <c r="H31" t="str">
        <f t="shared" si="1"/>
        <v>High Discount</v>
      </c>
      <c r="I31" s="2">
        <f>Table1[[#This Row],[old price]]-Table1[[#This Row],[Current price]]</f>
        <v>1418</v>
      </c>
    </row>
    <row r="32" spans="1:11" x14ac:dyDescent="0.35">
      <c r="A32" t="s">
        <v>31</v>
      </c>
      <c r="B32" s="2">
        <v>1580</v>
      </c>
      <c r="C32" s="2">
        <v>2499</v>
      </c>
      <c r="D32" s="1">
        <v>0.37</v>
      </c>
      <c r="E32">
        <v>7</v>
      </c>
      <c r="F32">
        <v>4.7</v>
      </c>
      <c r="G32" t="str">
        <f t="shared" si="0"/>
        <v>Excellent</v>
      </c>
      <c r="H32" t="str">
        <f t="shared" si="1"/>
        <v>Medium Discount</v>
      </c>
      <c r="I32" s="2">
        <f>Table1[[#This Row],[old price]]-Table1[[#This Row],[Current price]]</f>
        <v>919</v>
      </c>
    </row>
    <row r="33" spans="1:9" x14ac:dyDescent="0.35">
      <c r="A33" t="s">
        <v>30</v>
      </c>
      <c r="B33">
        <v>968</v>
      </c>
      <c r="C33" s="2">
        <v>1814</v>
      </c>
      <c r="D33" s="1">
        <v>0.47</v>
      </c>
      <c r="E33">
        <v>6</v>
      </c>
      <c r="F33">
        <v>2.2000000000000002</v>
      </c>
      <c r="G33" t="str">
        <f t="shared" si="0"/>
        <v>Poor</v>
      </c>
      <c r="H33" t="str">
        <f t="shared" si="1"/>
        <v>High Discount</v>
      </c>
      <c r="I33" s="2">
        <f>Table1[[#This Row],[old price]]-Table1[[#This Row],[Current price]]</f>
        <v>846</v>
      </c>
    </row>
    <row r="34" spans="1:9" x14ac:dyDescent="0.35">
      <c r="A34" t="s">
        <v>28</v>
      </c>
      <c r="B34">
        <v>990</v>
      </c>
      <c r="C34" s="2">
        <v>1814</v>
      </c>
      <c r="D34" s="1">
        <v>0.45</v>
      </c>
      <c r="E34">
        <v>6</v>
      </c>
      <c r="F34">
        <v>2.2000000000000002</v>
      </c>
      <c r="G34" t="str">
        <f t="shared" ref="G34:G58" si="2">IF(F34&lt;3,"Poor",IF(F34&lt;4.5,"Average","Excellent"))</f>
        <v>Poor</v>
      </c>
      <c r="H34" t="str">
        <f t="shared" ref="H34:H65" si="3">IF(D34&lt;20%,"Low Discount",IF(D34&lt;=40%,"Medium Discount","High Discount"))</f>
        <v>High Discount</v>
      </c>
      <c r="I34" s="2">
        <f>Table1[[#This Row],[old price]]-Table1[[#This Row],[Current price]]</f>
        <v>824</v>
      </c>
    </row>
    <row r="35" spans="1:9" x14ac:dyDescent="0.35">
      <c r="A35" t="s">
        <v>29</v>
      </c>
      <c r="B35">
        <v>345</v>
      </c>
      <c r="C35">
        <v>602</v>
      </c>
      <c r="D35" s="1">
        <v>0.43</v>
      </c>
      <c r="E35">
        <v>6</v>
      </c>
      <c r="F35">
        <v>2.2999999999999998</v>
      </c>
      <c r="G35" t="str">
        <f t="shared" si="2"/>
        <v>Poor</v>
      </c>
      <c r="H35" t="str">
        <f t="shared" si="3"/>
        <v>High Discount</v>
      </c>
      <c r="I35" s="2">
        <f>Table1[[#This Row],[old price]]-Table1[[#This Row],[Current price]]</f>
        <v>257</v>
      </c>
    </row>
    <row r="36" spans="1:9" x14ac:dyDescent="0.35">
      <c r="A36" t="s">
        <v>25</v>
      </c>
      <c r="B36">
        <v>501</v>
      </c>
      <c r="C36">
        <v>860</v>
      </c>
      <c r="D36" s="1">
        <v>0.42</v>
      </c>
      <c r="E36">
        <v>6</v>
      </c>
      <c r="F36">
        <v>4.5</v>
      </c>
      <c r="G36" t="str">
        <f t="shared" si="2"/>
        <v>Excellent</v>
      </c>
      <c r="H36" t="str">
        <f t="shared" si="3"/>
        <v>High Discount</v>
      </c>
      <c r="I36" s="2">
        <f>Table1[[#This Row],[old price]]-Table1[[#This Row],[Current price]]</f>
        <v>359</v>
      </c>
    </row>
    <row r="37" spans="1:9" x14ac:dyDescent="0.35">
      <c r="A37" t="s">
        <v>26</v>
      </c>
      <c r="B37">
        <v>880</v>
      </c>
      <c r="C37" s="2">
        <v>1350</v>
      </c>
      <c r="D37" s="1">
        <v>0.35</v>
      </c>
      <c r="E37">
        <v>6</v>
      </c>
      <c r="F37">
        <v>4</v>
      </c>
      <c r="G37" t="str">
        <f t="shared" si="2"/>
        <v>Average</v>
      </c>
      <c r="H37" t="str">
        <f t="shared" si="3"/>
        <v>Medium Discount</v>
      </c>
      <c r="I37" s="2">
        <f>Table1[[#This Row],[old price]]-Table1[[#This Row],[Current price]]</f>
        <v>470</v>
      </c>
    </row>
    <row r="38" spans="1:9" x14ac:dyDescent="0.35">
      <c r="A38" t="s">
        <v>27</v>
      </c>
      <c r="B38" s="2">
        <v>2170</v>
      </c>
      <c r="C38" s="2">
        <v>2500</v>
      </c>
      <c r="D38" s="1">
        <v>0.13</v>
      </c>
      <c r="E38">
        <v>6</v>
      </c>
      <c r="F38">
        <v>2.5</v>
      </c>
      <c r="G38" t="str">
        <f t="shared" si="2"/>
        <v>Poor</v>
      </c>
      <c r="H38" t="str">
        <f t="shared" si="3"/>
        <v>Low Discount</v>
      </c>
      <c r="I38" s="2">
        <f>Table1[[#This Row],[old price]]-Table1[[#This Row],[Current price]]</f>
        <v>330</v>
      </c>
    </row>
    <row r="39" spans="1:9" x14ac:dyDescent="0.35">
      <c r="A39" t="s">
        <v>19</v>
      </c>
      <c r="B39" s="2">
        <v>1274</v>
      </c>
      <c r="C39" s="2">
        <v>2800</v>
      </c>
      <c r="D39" s="1">
        <v>0.55000000000000004</v>
      </c>
      <c r="E39">
        <v>5</v>
      </c>
      <c r="F39">
        <v>4.8</v>
      </c>
      <c r="G39" t="str">
        <f t="shared" si="2"/>
        <v>Excellent</v>
      </c>
      <c r="H39" t="str">
        <f t="shared" si="3"/>
        <v>High Discount</v>
      </c>
      <c r="I39" s="2">
        <f>Table1[[#This Row],[old price]]-Table1[[#This Row],[Current price]]</f>
        <v>1526</v>
      </c>
    </row>
    <row r="40" spans="1:9" x14ac:dyDescent="0.35">
      <c r="A40" t="s">
        <v>20</v>
      </c>
      <c r="B40" s="2">
        <v>1600</v>
      </c>
      <c r="C40" s="2">
        <v>2929</v>
      </c>
      <c r="D40" s="1">
        <v>0.45</v>
      </c>
      <c r="E40">
        <v>5</v>
      </c>
      <c r="F40">
        <v>3.8</v>
      </c>
      <c r="G40" t="str">
        <f t="shared" si="2"/>
        <v>Average</v>
      </c>
      <c r="H40" t="str">
        <f t="shared" si="3"/>
        <v>High Discount</v>
      </c>
      <c r="I40" s="2">
        <f>Table1[[#This Row],[old price]]-Table1[[#This Row],[Current price]]</f>
        <v>1329</v>
      </c>
    </row>
    <row r="41" spans="1:9" x14ac:dyDescent="0.35">
      <c r="A41" t="s">
        <v>24</v>
      </c>
      <c r="B41">
        <v>509</v>
      </c>
      <c r="C41">
        <v>899</v>
      </c>
      <c r="D41" s="1">
        <v>0.43</v>
      </c>
      <c r="E41">
        <v>5</v>
      </c>
      <c r="F41">
        <v>3</v>
      </c>
      <c r="G41" t="str">
        <f t="shared" si="2"/>
        <v>Average</v>
      </c>
      <c r="H41" t="str">
        <f t="shared" si="3"/>
        <v>High Discount</v>
      </c>
      <c r="I41" s="2">
        <f>Table1[[#This Row],[old price]]-Table1[[#This Row],[Current price]]</f>
        <v>390</v>
      </c>
    </row>
    <row r="42" spans="1:9" x14ac:dyDescent="0.35">
      <c r="A42" t="s">
        <v>22</v>
      </c>
      <c r="B42" s="2">
        <v>3750</v>
      </c>
      <c r="C42" s="2">
        <v>6143</v>
      </c>
      <c r="D42" s="1">
        <v>0.39</v>
      </c>
      <c r="E42">
        <v>5</v>
      </c>
      <c r="F42">
        <v>3</v>
      </c>
      <c r="G42" t="str">
        <f t="shared" si="2"/>
        <v>Average</v>
      </c>
      <c r="H42" t="str">
        <f t="shared" si="3"/>
        <v>Medium Discount</v>
      </c>
      <c r="I42" s="2">
        <f>Table1[[#This Row],[old price]]-Table1[[#This Row],[Current price]]</f>
        <v>2393</v>
      </c>
    </row>
    <row r="43" spans="1:9" x14ac:dyDescent="0.35">
      <c r="A43" t="s">
        <v>23</v>
      </c>
      <c r="B43" s="2">
        <v>2300</v>
      </c>
      <c r="C43" s="2">
        <v>3240</v>
      </c>
      <c r="D43" s="1">
        <v>0.28999999999999998</v>
      </c>
      <c r="E43">
        <v>5</v>
      </c>
      <c r="F43">
        <v>3</v>
      </c>
      <c r="G43" t="str">
        <f t="shared" si="2"/>
        <v>Average</v>
      </c>
      <c r="H43" t="str">
        <f t="shared" si="3"/>
        <v>Medium Discount</v>
      </c>
      <c r="I43" s="2">
        <f>Table1[[#This Row],[old price]]-Table1[[#This Row],[Current price]]</f>
        <v>940</v>
      </c>
    </row>
    <row r="44" spans="1:9" x14ac:dyDescent="0.35">
      <c r="A44" t="s">
        <v>18</v>
      </c>
      <c r="B44" s="2">
        <v>1740</v>
      </c>
      <c r="C44" s="2">
        <v>2356</v>
      </c>
      <c r="D44" s="1">
        <v>0.26</v>
      </c>
      <c r="E44">
        <v>5</v>
      </c>
      <c r="F44">
        <v>4.8</v>
      </c>
      <c r="G44" t="str">
        <f t="shared" si="2"/>
        <v>Excellent</v>
      </c>
      <c r="H44" t="str">
        <f t="shared" si="3"/>
        <v>Medium Discount</v>
      </c>
      <c r="I44" s="2">
        <f>Table1[[#This Row],[old price]]-Table1[[#This Row],[Current price]]</f>
        <v>616</v>
      </c>
    </row>
    <row r="45" spans="1:9" x14ac:dyDescent="0.35">
      <c r="A45" t="s">
        <v>21</v>
      </c>
      <c r="B45" s="2">
        <v>2999</v>
      </c>
      <c r="C45" s="2">
        <v>3699</v>
      </c>
      <c r="D45" s="1">
        <v>0.19</v>
      </c>
      <c r="E45">
        <v>5</v>
      </c>
      <c r="F45">
        <v>4.5999999999999996</v>
      </c>
      <c r="G45" t="str">
        <f t="shared" si="2"/>
        <v>Excellent</v>
      </c>
      <c r="H45" t="str">
        <f t="shared" si="3"/>
        <v>Low Discount</v>
      </c>
      <c r="I45" s="2">
        <f>Table1[[#This Row],[old price]]-Table1[[#This Row],[Current price]]</f>
        <v>700</v>
      </c>
    </row>
    <row r="46" spans="1:9" x14ac:dyDescent="0.35">
      <c r="A46" t="s">
        <v>17</v>
      </c>
      <c r="B46" s="2">
        <v>2025</v>
      </c>
      <c r="C46" s="2">
        <v>3971</v>
      </c>
      <c r="D46" s="1">
        <v>0.49</v>
      </c>
      <c r="E46">
        <v>3</v>
      </c>
      <c r="F46">
        <v>5</v>
      </c>
      <c r="G46" t="str">
        <f t="shared" si="2"/>
        <v>Excellent</v>
      </c>
      <c r="H46" t="str">
        <f t="shared" si="3"/>
        <v>High Discount</v>
      </c>
      <c r="I46" s="2">
        <f>Table1[[#This Row],[old price]]-Table1[[#This Row],[Current price]]</f>
        <v>1946</v>
      </c>
    </row>
    <row r="47" spans="1:9" x14ac:dyDescent="0.35">
      <c r="A47" t="s">
        <v>15</v>
      </c>
      <c r="B47">
        <v>171</v>
      </c>
      <c r="C47">
        <v>360</v>
      </c>
      <c r="D47" s="1">
        <v>0.53</v>
      </c>
      <c r="E47">
        <v>2</v>
      </c>
      <c r="F47">
        <v>5</v>
      </c>
      <c r="G47" t="str">
        <f t="shared" si="2"/>
        <v>Excellent</v>
      </c>
      <c r="H47" t="str">
        <f t="shared" si="3"/>
        <v>High Discount</v>
      </c>
      <c r="I47" s="2">
        <f>Table1[[#This Row],[old price]]-Table1[[#This Row],[Current price]]</f>
        <v>189</v>
      </c>
    </row>
    <row r="48" spans="1:9" x14ac:dyDescent="0.35">
      <c r="A48" t="s">
        <v>13</v>
      </c>
      <c r="B48">
        <v>332</v>
      </c>
      <c r="C48">
        <v>684</v>
      </c>
      <c r="D48" s="1">
        <v>0.51</v>
      </c>
      <c r="E48">
        <v>2</v>
      </c>
      <c r="F48">
        <v>5</v>
      </c>
      <c r="G48" t="str">
        <f t="shared" si="2"/>
        <v>Excellent</v>
      </c>
      <c r="H48" t="str">
        <f t="shared" si="3"/>
        <v>High Discount</v>
      </c>
      <c r="I48" s="2">
        <f>Table1[[#This Row],[old price]]-Table1[[#This Row],[Current price]]</f>
        <v>352</v>
      </c>
    </row>
    <row r="49" spans="1:9" x14ac:dyDescent="0.35">
      <c r="A49" t="s">
        <v>14</v>
      </c>
      <c r="B49">
        <v>195</v>
      </c>
      <c r="C49">
        <v>360</v>
      </c>
      <c r="D49" s="1">
        <v>0.46</v>
      </c>
      <c r="E49">
        <v>2</v>
      </c>
      <c r="F49">
        <v>5</v>
      </c>
      <c r="G49" t="str">
        <f t="shared" si="2"/>
        <v>Excellent</v>
      </c>
      <c r="H49" t="str">
        <f t="shared" si="3"/>
        <v>High Discount</v>
      </c>
      <c r="I49" s="2">
        <f>Table1[[#This Row],[old price]]-Table1[[#This Row],[Current price]]</f>
        <v>165</v>
      </c>
    </row>
    <row r="50" spans="1:9" x14ac:dyDescent="0.35">
      <c r="A50" t="s">
        <v>16</v>
      </c>
      <c r="B50">
        <v>1800</v>
      </c>
      <c r="C50">
        <v>2700</v>
      </c>
      <c r="D50" s="1">
        <v>0.38</v>
      </c>
      <c r="E50">
        <v>2</v>
      </c>
      <c r="F50">
        <v>4.5</v>
      </c>
      <c r="G50" t="str">
        <f t="shared" si="2"/>
        <v>Excellent</v>
      </c>
      <c r="H50" t="str">
        <f t="shared" si="3"/>
        <v>Medium Discount</v>
      </c>
      <c r="I50" s="2">
        <f>Table1[[#This Row],[old price]]-Table1[[#This Row],[Current price]]</f>
        <v>900</v>
      </c>
    </row>
    <row r="51" spans="1:9" x14ac:dyDescent="0.35">
      <c r="A51" t="s">
        <v>11</v>
      </c>
      <c r="B51">
        <v>950</v>
      </c>
      <c r="C51" s="2">
        <v>1525</v>
      </c>
      <c r="D51" s="1">
        <v>0.38</v>
      </c>
      <c r="E51">
        <v>2</v>
      </c>
      <c r="F51">
        <v>4.5</v>
      </c>
      <c r="G51" t="str">
        <f t="shared" si="2"/>
        <v>Excellent</v>
      </c>
      <c r="H51" t="str">
        <f t="shared" si="3"/>
        <v>Medium Discount</v>
      </c>
      <c r="I51" s="2">
        <f>Table1[[#This Row],[old price]]-Table1[[#This Row],[Current price]]</f>
        <v>575</v>
      </c>
    </row>
    <row r="52" spans="1:9" x14ac:dyDescent="0.35">
      <c r="A52" t="s">
        <v>12</v>
      </c>
      <c r="B52">
        <v>988</v>
      </c>
      <c r="C52" s="2">
        <v>1580</v>
      </c>
      <c r="D52" s="1">
        <v>0.37</v>
      </c>
      <c r="E52">
        <v>2</v>
      </c>
      <c r="F52">
        <v>4</v>
      </c>
      <c r="G52" t="str">
        <f t="shared" si="2"/>
        <v>Average</v>
      </c>
      <c r="H52" t="str">
        <f t="shared" si="3"/>
        <v>Medium Discount</v>
      </c>
      <c r="I52" s="2">
        <f>Table1[[#This Row],[old price]]-Table1[[#This Row],[Current price]]</f>
        <v>592</v>
      </c>
    </row>
    <row r="53" spans="1:9" x14ac:dyDescent="0.35">
      <c r="A53" t="s">
        <v>10</v>
      </c>
      <c r="B53">
        <v>450</v>
      </c>
      <c r="C53">
        <v>900</v>
      </c>
      <c r="D53" s="1">
        <v>0.5</v>
      </c>
      <c r="E53">
        <v>1</v>
      </c>
      <c r="F53">
        <v>2</v>
      </c>
      <c r="G53" t="str">
        <f t="shared" si="2"/>
        <v>Poor</v>
      </c>
      <c r="H53" t="str">
        <f t="shared" si="3"/>
        <v>High Discount</v>
      </c>
      <c r="I53" s="2">
        <f>Table1[[#This Row],[old price]]-Table1[[#This Row],[Current price]]</f>
        <v>450</v>
      </c>
    </row>
    <row r="54" spans="1:9" x14ac:dyDescent="0.35">
      <c r="A54" t="s">
        <v>8</v>
      </c>
      <c r="B54">
        <v>330</v>
      </c>
      <c r="C54">
        <v>647</v>
      </c>
      <c r="D54" s="1">
        <v>0.49</v>
      </c>
      <c r="E54">
        <v>1</v>
      </c>
      <c r="F54">
        <v>4</v>
      </c>
      <c r="G54" t="str">
        <f t="shared" si="2"/>
        <v>Average</v>
      </c>
      <c r="H54" t="str">
        <f t="shared" si="3"/>
        <v>High Discount</v>
      </c>
      <c r="I54" s="2">
        <f>Table1[[#This Row],[old price]]-Table1[[#This Row],[Current price]]</f>
        <v>317</v>
      </c>
    </row>
    <row r="55" spans="1:9" x14ac:dyDescent="0.35">
      <c r="A55" t="s">
        <v>7</v>
      </c>
      <c r="B55">
        <v>979</v>
      </c>
      <c r="C55" s="2">
        <v>1920</v>
      </c>
      <c r="D55" s="1">
        <v>0.49</v>
      </c>
      <c r="E55">
        <v>1</v>
      </c>
      <c r="F55">
        <v>5</v>
      </c>
      <c r="G55" t="str">
        <f t="shared" si="2"/>
        <v>Excellent</v>
      </c>
      <c r="H55" t="str">
        <f t="shared" si="3"/>
        <v>High Discount</v>
      </c>
      <c r="I55" s="2">
        <f>Table1[[#This Row],[old price]]-Table1[[#This Row],[Current price]]</f>
        <v>941</v>
      </c>
    </row>
    <row r="56" spans="1:9" x14ac:dyDescent="0.35">
      <c r="A56" t="s">
        <v>6</v>
      </c>
      <c r="B56" s="2">
        <v>1189</v>
      </c>
      <c r="C56" s="2">
        <v>2199</v>
      </c>
      <c r="D56" s="1">
        <v>0.46</v>
      </c>
      <c r="E56">
        <v>1</v>
      </c>
      <c r="F56">
        <v>3</v>
      </c>
      <c r="G56" t="str">
        <f t="shared" si="2"/>
        <v>Average</v>
      </c>
      <c r="H56" t="str">
        <f t="shared" si="3"/>
        <v>High Discount</v>
      </c>
      <c r="I56" s="2">
        <f>Table1[[#This Row],[old price]]-Table1[[#This Row],[Current price]]</f>
        <v>1010</v>
      </c>
    </row>
    <row r="57" spans="1:9" x14ac:dyDescent="0.35">
      <c r="A57" t="s">
        <v>5</v>
      </c>
      <c r="B57" s="2">
        <v>1620</v>
      </c>
      <c r="C57" s="2">
        <v>2690</v>
      </c>
      <c r="D57" s="1">
        <v>0.4</v>
      </c>
      <c r="E57">
        <v>1</v>
      </c>
      <c r="F57">
        <v>5</v>
      </c>
      <c r="G57" t="str">
        <f t="shared" si="2"/>
        <v>Excellent</v>
      </c>
      <c r="H57" t="str">
        <f t="shared" si="3"/>
        <v>Medium Discount</v>
      </c>
      <c r="I57" s="2">
        <f>Table1[[#This Row],[old price]]-Table1[[#This Row],[Current price]]</f>
        <v>1070</v>
      </c>
    </row>
    <row r="58" spans="1:9" x14ac:dyDescent="0.35">
      <c r="A58" t="s">
        <v>9</v>
      </c>
      <c r="B58" s="2">
        <v>3640</v>
      </c>
      <c r="C58" s="2">
        <v>4588</v>
      </c>
      <c r="D58" s="1">
        <v>0.21</v>
      </c>
      <c r="E58">
        <v>1</v>
      </c>
      <c r="F58">
        <v>5</v>
      </c>
      <c r="G58" t="str">
        <f t="shared" si="2"/>
        <v>Excellent</v>
      </c>
      <c r="H58" t="str">
        <f t="shared" si="3"/>
        <v>Medium Discount</v>
      </c>
      <c r="I58" s="2">
        <f>Table1[[#This Row],[old price]]-Table1[[#This Row],[Current price]]</f>
        <v>948</v>
      </c>
    </row>
    <row r="59" spans="1:9" x14ac:dyDescent="0.35">
      <c r="A59" t="s">
        <v>112</v>
      </c>
      <c r="B59">
        <v>199</v>
      </c>
      <c r="C59">
        <v>553</v>
      </c>
      <c r="D59" s="1">
        <v>0.64</v>
      </c>
      <c r="G59" t="s">
        <v>147</v>
      </c>
      <c r="H59" t="str">
        <f t="shared" si="3"/>
        <v>High Discount</v>
      </c>
      <c r="I59" s="2">
        <f>Table1[[#This Row],[old price]]-Table1[[#This Row],[Current price]]</f>
        <v>354</v>
      </c>
    </row>
    <row r="60" spans="1:9" x14ac:dyDescent="0.35">
      <c r="A60" t="s">
        <v>73</v>
      </c>
      <c r="B60">
        <v>199</v>
      </c>
      <c r="C60">
        <v>504</v>
      </c>
      <c r="D60" s="1">
        <v>0.61</v>
      </c>
      <c r="G60" t="s">
        <v>147</v>
      </c>
      <c r="H60" t="str">
        <f t="shared" si="3"/>
        <v>High Discount</v>
      </c>
      <c r="I60" s="2">
        <f>Table1[[#This Row],[old price]]-Table1[[#This Row],[Current price]]</f>
        <v>305</v>
      </c>
    </row>
    <row r="61" spans="1:9" x14ac:dyDescent="0.35">
      <c r="A61" t="s">
        <v>79</v>
      </c>
      <c r="B61">
        <v>399</v>
      </c>
      <c r="C61">
        <v>896</v>
      </c>
      <c r="D61" s="1">
        <v>0.55000000000000004</v>
      </c>
      <c r="G61" t="s">
        <v>147</v>
      </c>
      <c r="H61" t="str">
        <f t="shared" si="3"/>
        <v>High Discount</v>
      </c>
      <c r="I61" s="2">
        <f>Table1[[#This Row],[old price]]-Table1[[#This Row],[Current price]]</f>
        <v>497</v>
      </c>
    </row>
    <row r="62" spans="1:9" x14ac:dyDescent="0.35">
      <c r="A62" t="s">
        <v>98</v>
      </c>
      <c r="B62" s="2">
        <v>1200</v>
      </c>
      <c r="C62" s="2">
        <v>2400</v>
      </c>
      <c r="D62" s="1">
        <v>0.5</v>
      </c>
      <c r="G62" t="s">
        <v>147</v>
      </c>
      <c r="H62" t="str">
        <f t="shared" si="3"/>
        <v>High Discount</v>
      </c>
      <c r="I62" s="2">
        <f>Table1[[#This Row],[old price]]-Table1[[#This Row],[Current price]]</f>
        <v>1200</v>
      </c>
    </row>
    <row r="63" spans="1:9" x14ac:dyDescent="0.35">
      <c r="A63" t="s">
        <v>69</v>
      </c>
      <c r="B63">
        <v>999</v>
      </c>
      <c r="C63" s="2">
        <v>2000</v>
      </c>
      <c r="D63" s="1">
        <v>0.5</v>
      </c>
      <c r="G63" t="s">
        <v>147</v>
      </c>
      <c r="H63" t="str">
        <f t="shared" si="3"/>
        <v>High Discount</v>
      </c>
      <c r="I63" s="2">
        <f>Table1[[#This Row],[old price]]-Table1[[#This Row],[Current price]]</f>
        <v>1001</v>
      </c>
    </row>
    <row r="64" spans="1:9" x14ac:dyDescent="0.35">
      <c r="A64" t="s">
        <v>94</v>
      </c>
      <c r="B64">
        <v>850</v>
      </c>
      <c r="C64" s="2">
        <v>1700</v>
      </c>
      <c r="D64" s="1">
        <v>0.5</v>
      </c>
      <c r="G64" t="s">
        <v>147</v>
      </c>
      <c r="H64" t="str">
        <f t="shared" si="3"/>
        <v>High Discount</v>
      </c>
      <c r="I64" s="2">
        <f>Table1[[#This Row],[old price]]-Table1[[#This Row],[Current price]]</f>
        <v>850</v>
      </c>
    </row>
    <row r="65" spans="1:9" x14ac:dyDescent="0.35">
      <c r="A65" t="s">
        <v>74</v>
      </c>
      <c r="B65">
        <v>299</v>
      </c>
      <c r="C65">
        <v>600</v>
      </c>
      <c r="D65" s="1">
        <v>0.5</v>
      </c>
      <c r="G65" t="s">
        <v>147</v>
      </c>
      <c r="H65" t="str">
        <f t="shared" si="3"/>
        <v>High Discount</v>
      </c>
      <c r="I65" s="2">
        <f>Table1[[#This Row],[old price]]-Table1[[#This Row],[Current price]]</f>
        <v>301</v>
      </c>
    </row>
    <row r="66" spans="1:9" x14ac:dyDescent="0.35">
      <c r="A66" t="s">
        <v>66</v>
      </c>
      <c r="B66">
        <v>238</v>
      </c>
      <c r="C66">
        <v>476</v>
      </c>
      <c r="D66" s="1">
        <v>0.5</v>
      </c>
      <c r="G66" t="s">
        <v>147</v>
      </c>
      <c r="H66" t="str">
        <f t="shared" ref="H66:H97" si="4">IF(D66&lt;20%,"Low Discount",IF(D66&lt;=40%,"Medium Discount","High Discount"))</f>
        <v>High Discount</v>
      </c>
      <c r="I66" s="2">
        <f>Table1[[#This Row],[old price]]-Table1[[#This Row],[Current price]]</f>
        <v>238</v>
      </c>
    </row>
    <row r="67" spans="1:9" x14ac:dyDescent="0.35">
      <c r="A67" t="s">
        <v>81</v>
      </c>
      <c r="B67">
        <v>799</v>
      </c>
      <c r="C67" s="2">
        <v>1567</v>
      </c>
      <c r="D67" s="1">
        <v>0.49</v>
      </c>
      <c r="G67" t="s">
        <v>147</v>
      </c>
      <c r="H67" t="str">
        <f t="shared" si="4"/>
        <v>High Discount</v>
      </c>
      <c r="I67" s="2">
        <f>Table1[[#This Row],[old price]]-Table1[[#This Row],[Current price]]</f>
        <v>768</v>
      </c>
    </row>
    <row r="68" spans="1:9" x14ac:dyDescent="0.35">
      <c r="A68" t="s">
        <v>71</v>
      </c>
      <c r="B68">
        <v>671</v>
      </c>
      <c r="C68" s="2">
        <v>1316</v>
      </c>
      <c r="D68" s="1">
        <v>0.49</v>
      </c>
      <c r="G68" t="s">
        <v>147</v>
      </c>
      <c r="H68" t="str">
        <f t="shared" si="4"/>
        <v>High Discount</v>
      </c>
      <c r="I68" s="2">
        <f>Table1[[#This Row],[old price]]-Table1[[#This Row],[Current price]]</f>
        <v>645</v>
      </c>
    </row>
    <row r="69" spans="1:9" x14ac:dyDescent="0.35">
      <c r="A69" t="s">
        <v>81</v>
      </c>
      <c r="B69">
        <v>657</v>
      </c>
      <c r="C69" s="2">
        <v>1288</v>
      </c>
      <c r="D69" s="1">
        <v>0.49</v>
      </c>
      <c r="G69" t="s">
        <v>147</v>
      </c>
      <c r="H69" t="str">
        <f t="shared" si="4"/>
        <v>High Discount</v>
      </c>
      <c r="I69" s="2">
        <f>Table1[[#This Row],[old price]]-Table1[[#This Row],[Current price]]</f>
        <v>631</v>
      </c>
    </row>
    <row r="70" spans="1:9" x14ac:dyDescent="0.35">
      <c r="A70" t="s">
        <v>103</v>
      </c>
      <c r="B70">
        <v>525</v>
      </c>
      <c r="C70" s="2">
        <v>1029</v>
      </c>
      <c r="D70" s="1">
        <v>0.49</v>
      </c>
      <c r="G70" t="s">
        <v>147</v>
      </c>
      <c r="H70" t="str">
        <f t="shared" si="4"/>
        <v>High Discount</v>
      </c>
      <c r="I70" s="2">
        <f>Table1[[#This Row],[old price]]-Table1[[#This Row],[Current price]]</f>
        <v>504</v>
      </c>
    </row>
    <row r="71" spans="1:9" x14ac:dyDescent="0.35">
      <c r="A71" t="s">
        <v>65</v>
      </c>
      <c r="B71">
        <v>475</v>
      </c>
      <c r="C71">
        <v>931</v>
      </c>
      <c r="D71" s="1">
        <v>0.49</v>
      </c>
      <c r="G71" t="s">
        <v>147</v>
      </c>
      <c r="H71" t="str">
        <f t="shared" si="4"/>
        <v>High Discount</v>
      </c>
      <c r="I71" s="2">
        <f>Table1[[#This Row],[old price]]-Table1[[#This Row],[Current price]]</f>
        <v>456</v>
      </c>
    </row>
    <row r="72" spans="1:9" x14ac:dyDescent="0.35">
      <c r="A72" t="s">
        <v>90</v>
      </c>
      <c r="B72">
        <v>274</v>
      </c>
      <c r="C72">
        <v>537</v>
      </c>
      <c r="D72" s="1">
        <v>0.49</v>
      </c>
      <c r="G72" t="s">
        <v>147</v>
      </c>
      <c r="H72" t="str">
        <f t="shared" si="4"/>
        <v>High Discount</v>
      </c>
      <c r="I72" s="2">
        <f>Table1[[#This Row],[old price]]-Table1[[#This Row],[Current price]]</f>
        <v>263</v>
      </c>
    </row>
    <row r="73" spans="1:9" x14ac:dyDescent="0.35">
      <c r="A73" t="s">
        <v>101</v>
      </c>
      <c r="B73">
        <v>248</v>
      </c>
      <c r="C73">
        <v>486</v>
      </c>
      <c r="D73" s="1">
        <v>0.49</v>
      </c>
      <c r="G73" t="s">
        <v>147</v>
      </c>
      <c r="H73" t="str">
        <f t="shared" si="4"/>
        <v>High Discount</v>
      </c>
      <c r="I73" s="2">
        <f>Table1[[#This Row],[old price]]-Table1[[#This Row],[Current price]]</f>
        <v>238</v>
      </c>
    </row>
    <row r="74" spans="1:9" x14ac:dyDescent="0.35">
      <c r="A74" t="s">
        <v>86</v>
      </c>
      <c r="B74">
        <v>230</v>
      </c>
      <c r="C74">
        <v>450</v>
      </c>
      <c r="D74" s="1">
        <v>0.49</v>
      </c>
      <c r="G74" t="s">
        <v>147</v>
      </c>
      <c r="H74" t="str">
        <f t="shared" si="4"/>
        <v>High Discount</v>
      </c>
      <c r="I74" s="2">
        <f>Table1[[#This Row],[old price]]-Table1[[#This Row],[Current price]]</f>
        <v>220</v>
      </c>
    </row>
    <row r="75" spans="1:9" x14ac:dyDescent="0.35">
      <c r="A75" t="s">
        <v>73</v>
      </c>
      <c r="B75">
        <v>176</v>
      </c>
      <c r="C75">
        <v>345</v>
      </c>
      <c r="D75" s="1">
        <v>0.49</v>
      </c>
      <c r="G75" t="s">
        <v>147</v>
      </c>
      <c r="H75" t="str">
        <f t="shared" si="4"/>
        <v>High Discount</v>
      </c>
      <c r="I75" s="2">
        <f>Table1[[#This Row],[old price]]-Table1[[#This Row],[Current price]]</f>
        <v>169</v>
      </c>
    </row>
    <row r="76" spans="1:9" x14ac:dyDescent="0.35">
      <c r="A76" t="s">
        <v>95</v>
      </c>
      <c r="B76" s="2">
        <v>1300</v>
      </c>
      <c r="C76" s="2">
        <v>2500</v>
      </c>
      <c r="D76" s="1">
        <v>0.48</v>
      </c>
      <c r="G76" t="s">
        <v>147</v>
      </c>
      <c r="H76" t="str">
        <f t="shared" si="4"/>
        <v>High Discount</v>
      </c>
      <c r="I76" s="2">
        <f>Table1[[#This Row],[old price]]-Table1[[#This Row],[Current price]]</f>
        <v>1200</v>
      </c>
    </row>
    <row r="77" spans="1:9" x14ac:dyDescent="0.35">
      <c r="A77" t="s">
        <v>80</v>
      </c>
      <c r="B77">
        <v>699</v>
      </c>
      <c r="C77" s="2">
        <v>1343</v>
      </c>
      <c r="D77" s="1">
        <v>0.48</v>
      </c>
      <c r="G77" t="s">
        <v>147</v>
      </c>
      <c r="H77" t="str">
        <f t="shared" si="4"/>
        <v>High Discount</v>
      </c>
      <c r="I77" s="2">
        <f>Table1[[#This Row],[old price]]-Table1[[#This Row],[Current price]]</f>
        <v>644</v>
      </c>
    </row>
    <row r="78" spans="1:9" x14ac:dyDescent="0.35">
      <c r="A78" t="s">
        <v>96</v>
      </c>
      <c r="B78">
        <v>105</v>
      </c>
      <c r="C78">
        <v>200</v>
      </c>
      <c r="D78" s="1">
        <v>0.48</v>
      </c>
      <c r="G78" t="s">
        <v>147</v>
      </c>
      <c r="H78" t="str">
        <f t="shared" si="4"/>
        <v>High Discount</v>
      </c>
      <c r="I78" s="2">
        <f>Table1[[#This Row],[old price]]-Table1[[#This Row],[Current price]]</f>
        <v>95</v>
      </c>
    </row>
    <row r="79" spans="1:9" x14ac:dyDescent="0.35">
      <c r="A79" t="s">
        <v>97</v>
      </c>
      <c r="B79">
        <v>899</v>
      </c>
      <c r="C79" s="2">
        <v>1699</v>
      </c>
      <c r="D79" s="1">
        <v>0.47</v>
      </c>
      <c r="G79" t="s">
        <v>147</v>
      </c>
      <c r="H79" t="str">
        <f t="shared" si="4"/>
        <v>High Discount</v>
      </c>
      <c r="I79" s="2">
        <f>Table1[[#This Row],[old price]]-Table1[[#This Row],[Current price]]</f>
        <v>800</v>
      </c>
    </row>
    <row r="80" spans="1:9" x14ac:dyDescent="0.35">
      <c r="A80" t="s">
        <v>83</v>
      </c>
      <c r="B80">
        <v>790</v>
      </c>
      <c r="C80" s="2">
        <v>1485</v>
      </c>
      <c r="D80" s="1">
        <v>0.47</v>
      </c>
      <c r="G80" t="s">
        <v>147</v>
      </c>
      <c r="H80" t="str">
        <f t="shared" si="4"/>
        <v>High Discount</v>
      </c>
      <c r="I80" s="2">
        <f>Table1[[#This Row],[old price]]-Table1[[#This Row],[Current price]]</f>
        <v>695</v>
      </c>
    </row>
    <row r="81" spans="1:9" x14ac:dyDescent="0.35">
      <c r="A81" t="s">
        <v>113</v>
      </c>
      <c r="B81">
        <v>169</v>
      </c>
      <c r="C81">
        <v>320</v>
      </c>
      <c r="D81" s="1">
        <v>0.47</v>
      </c>
      <c r="G81" t="s">
        <v>147</v>
      </c>
      <c r="H81" t="str">
        <f t="shared" si="4"/>
        <v>High Discount</v>
      </c>
      <c r="I81" s="2">
        <f>Table1[[#This Row],[old price]]-Table1[[#This Row],[Current price]]</f>
        <v>151</v>
      </c>
    </row>
    <row r="82" spans="1:9" x14ac:dyDescent="0.35">
      <c r="A82" t="s">
        <v>63</v>
      </c>
      <c r="B82" s="2">
        <v>2200</v>
      </c>
      <c r="C82" s="2">
        <v>4080</v>
      </c>
      <c r="D82" s="1">
        <v>0.46</v>
      </c>
      <c r="G82" t="s">
        <v>147</v>
      </c>
      <c r="H82" t="str">
        <f t="shared" si="4"/>
        <v>High Discount</v>
      </c>
      <c r="I82" s="2">
        <f>Table1[[#This Row],[old price]]-Table1[[#This Row],[Current price]]</f>
        <v>1880</v>
      </c>
    </row>
    <row r="83" spans="1:9" x14ac:dyDescent="0.35">
      <c r="A83" t="s">
        <v>79</v>
      </c>
      <c r="B83">
        <v>499</v>
      </c>
      <c r="C83">
        <v>900</v>
      </c>
      <c r="D83" s="1">
        <v>0.45</v>
      </c>
      <c r="G83" t="s">
        <v>147</v>
      </c>
      <c r="H83" t="str">
        <f t="shared" si="4"/>
        <v>High Discount</v>
      </c>
      <c r="I83" s="2">
        <f>Table1[[#This Row],[old price]]-Table1[[#This Row],[Current price]]</f>
        <v>401</v>
      </c>
    </row>
    <row r="84" spans="1:9" x14ac:dyDescent="0.35">
      <c r="A84" t="s">
        <v>84</v>
      </c>
      <c r="B84">
        <v>690</v>
      </c>
      <c r="C84" s="2">
        <v>1200</v>
      </c>
      <c r="D84" s="1">
        <v>0.43</v>
      </c>
      <c r="G84" t="s">
        <v>147</v>
      </c>
      <c r="H84" t="str">
        <f t="shared" si="4"/>
        <v>High Discount</v>
      </c>
      <c r="I84" s="2">
        <f>Table1[[#This Row],[old price]]-Table1[[#This Row],[Current price]]</f>
        <v>510</v>
      </c>
    </row>
    <row r="85" spans="1:9" x14ac:dyDescent="0.35">
      <c r="A85" t="s">
        <v>93</v>
      </c>
      <c r="B85">
        <v>630</v>
      </c>
      <c r="C85" s="2">
        <v>1100</v>
      </c>
      <c r="D85" s="1">
        <v>0.43</v>
      </c>
      <c r="G85" t="s">
        <v>147</v>
      </c>
      <c r="H85" t="str">
        <f t="shared" si="4"/>
        <v>High Discount</v>
      </c>
      <c r="I85" s="2">
        <f>Table1[[#This Row],[old price]]-Table1[[#This Row],[Current price]]</f>
        <v>470</v>
      </c>
    </row>
    <row r="86" spans="1:9" x14ac:dyDescent="0.35">
      <c r="A86" t="s">
        <v>62</v>
      </c>
      <c r="B86" s="2">
        <v>1860</v>
      </c>
      <c r="C86" s="2">
        <v>3220</v>
      </c>
      <c r="D86" s="1">
        <v>0.42</v>
      </c>
      <c r="G86" t="s">
        <v>147</v>
      </c>
      <c r="H86" t="str">
        <f t="shared" si="4"/>
        <v>High Discount</v>
      </c>
      <c r="I86" s="2">
        <f>Table1[[#This Row],[old price]]-Table1[[#This Row],[Current price]]</f>
        <v>1360</v>
      </c>
    </row>
    <row r="87" spans="1:9" x14ac:dyDescent="0.35">
      <c r="A87" t="s">
        <v>104</v>
      </c>
      <c r="B87" s="2">
        <v>1080</v>
      </c>
      <c r="C87" s="2">
        <v>1874</v>
      </c>
      <c r="D87" s="1">
        <v>0.42</v>
      </c>
      <c r="G87" t="s">
        <v>147</v>
      </c>
      <c r="H87" t="str">
        <f t="shared" si="4"/>
        <v>High Discount</v>
      </c>
      <c r="I87" s="2">
        <f>Table1[[#This Row],[old price]]-Table1[[#This Row],[Current price]]</f>
        <v>794</v>
      </c>
    </row>
    <row r="88" spans="1:9" x14ac:dyDescent="0.35">
      <c r="A88" t="s">
        <v>67</v>
      </c>
      <c r="B88">
        <v>610</v>
      </c>
      <c r="C88" s="2">
        <v>1060</v>
      </c>
      <c r="D88" s="1">
        <v>0.42</v>
      </c>
      <c r="G88" t="s">
        <v>147</v>
      </c>
      <c r="H88" t="str">
        <f t="shared" si="4"/>
        <v>High Discount</v>
      </c>
      <c r="I88" s="2">
        <f>Table1[[#This Row],[old price]]-Table1[[#This Row],[Current price]]</f>
        <v>450</v>
      </c>
    </row>
    <row r="89" spans="1:9" x14ac:dyDescent="0.35">
      <c r="A89" t="s">
        <v>105</v>
      </c>
      <c r="B89" s="2">
        <v>1420</v>
      </c>
      <c r="C89" s="2">
        <v>2420</v>
      </c>
      <c r="D89" s="1">
        <v>0.41</v>
      </c>
      <c r="G89" t="s">
        <v>147</v>
      </c>
      <c r="H89" t="str">
        <f t="shared" si="4"/>
        <v>High Discount</v>
      </c>
      <c r="I89" s="2">
        <f>Table1[[#This Row],[old price]]-Table1[[#This Row],[Current price]]</f>
        <v>1000</v>
      </c>
    </row>
    <row r="90" spans="1:9" x14ac:dyDescent="0.35">
      <c r="A90" t="s">
        <v>78</v>
      </c>
      <c r="B90">
        <v>799</v>
      </c>
      <c r="C90" s="2">
        <v>1343</v>
      </c>
      <c r="D90" s="1">
        <v>0.41</v>
      </c>
      <c r="G90" t="s">
        <v>147</v>
      </c>
      <c r="H90" t="str">
        <f t="shared" si="4"/>
        <v>High Discount</v>
      </c>
      <c r="I90" s="2">
        <f>Table1[[#This Row],[old price]]-Table1[[#This Row],[Current price]]</f>
        <v>544</v>
      </c>
    </row>
    <row r="91" spans="1:9" x14ac:dyDescent="0.35">
      <c r="A91" t="s">
        <v>64</v>
      </c>
      <c r="B91" s="2">
        <v>2750</v>
      </c>
      <c r="C91" s="2">
        <v>4471</v>
      </c>
      <c r="D91" s="1">
        <v>0.38</v>
      </c>
      <c r="G91" t="s">
        <v>147</v>
      </c>
      <c r="H91" t="str">
        <f t="shared" si="4"/>
        <v>Medium Discount</v>
      </c>
      <c r="I91" s="2">
        <f>Table1[[#This Row],[old price]]-Table1[[#This Row],[Current price]]</f>
        <v>1721</v>
      </c>
    </row>
    <row r="92" spans="1:9" x14ac:dyDescent="0.35">
      <c r="A92" t="s">
        <v>72</v>
      </c>
      <c r="B92" s="2">
        <v>1200</v>
      </c>
      <c r="C92" s="2">
        <v>1950</v>
      </c>
      <c r="D92" s="1">
        <v>0.38</v>
      </c>
      <c r="G92" t="s">
        <v>147</v>
      </c>
      <c r="H92" t="str">
        <f t="shared" si="4"/>
        <v>Medium Discount</v>
      </c>
      <c r="I92" s="2">
        <f>Table1[[#This Row],[old price]]-Table1[[#This Row],[Current price]]</f>
        <v>750</v>
      </c>
    </row>
    <row r="93" spans="1:9" x14ac:dyDescent="0.35">
      <c r="A93" t="s">
        <v>87</v>
      </c>
      <c r="B93" s="2">
        <v>1460</v>
      </c>
      <c r="C93" s="2">
        <v>2290</v>
      </c>
      <c r="D93" s="1">
        <v>0.36</v>
      </c>
      <c r="G93" t="s">
        <v>147</v>
      </c>
      <c r="H93" t="str">
        <f t="shared" si="4"/>
        <v>Medium Discount</v>
      </c>
      <c r="I93" s="2">
        <f>Table1[[#This Row],[old price]]-Table1[[#This Row],[Current price]]</f>
        <v>830</v>
      </c>
    </row>
    <row r="94" spans="1:9" x14ac:dyDescent="0.35">
      <c r="A94" t="s">
        <v>109</v>
      </c>
      <c r="B94" s="2">
        <v>1190</v>
      </c>
      <c r="C94" s="2">
        <v>1810</v>
      </c>
      <c r="D94" s="1">
        <v>0.34</v>
      </c>
      <c r="G94" t="s">
        <v>147</v>
      </c>
      <c r="H94" t="str">
        <f t="shared" si="4"/>
        <v>Medium Discount</v>
      </c>
      <c r="I94" s="2">
        <f>Table1[[#This Row],[old price]]-Table1[[#This Row],[Current price]]</f>
        <v>620</v>
      </c>
    </row>
    <row r="95" spans="1:9" x14ac:dyDescent="0.35">
      <c r="A95" t="s">
        <v>108</v>
      </c>
      <c r="B95" s="2">
        <v>1150</v>
      </c>
      <c r="C95" s="2">
        <v>1737</v>
      </c>
      <c r="D95" s="1">
        <v>0.34</v>
      </c>
      <c r="G95" t="s">
        <v>147</v>
      </c>
      <c r="H95" t="str">
        <f t="shared" si="4"/>
        <v>Medium Discount</v>
      </c>
      <c r="I95" s="2">
        <f>Table1[[#This Row],[old price]]-Table1[[#This Row],[Current price]]</f>
        <v>587</v>
      </c>
    </row>
    <row r="96" spans="1:9" x14ac:dyDescent="0.35">
      <c r="A96" t="s">
        <v>70</v>
      </c>
      <c r="B96" s="2">
        <v>1190</v>
      </c>
      <c r="C96" s="2">
        <v>1785</v>
      </c>
      <c r="D96" s="1">
        <v>0.33</v>
      </c>
      <c r="G96" t="s">
        <v>147</v>
      </c>
      <c r="H96" t="str">
        <f t="shared" si="4"/>
        <v>Medium Discount</v>
      </c>
      <c r="I96" s="2">
        <f>Table1[[#This Row],[old price]]-Table1[[#This Row],[Current price]]</f>
        <v>595</v>
      </c>
    </row>
    <row r="97" spans="1:9" x14ac:dyDescent="0.35">
      <c r="A97" t="s">
        <v>82</v>
      </c>
      <c r="B97" s="2">
        <v>2799</v>
      </c>
      <c r="C97" s="2">
        <v>3810</v>
      </c>
      <c r="D97" s="1">
        <v>0.27</v>
      </c>
      <c r="G97" t="s">
        <v>147</v>
      </c>
      <c r="H97" t="str">
        <f t="shared" si="4"/>
        <v>Medium Discount</v>
      </c>
      <c r="I97" s="2">
        <f>Table1[[#This Row],[old price]]-Table1[[#This Row],[Current price]]</f>
        <v>1011</v>
      </c>
    </row>
    <row r="98" spans="1:9" x14ac:dyDescent="0.35">
      <c r="A98" t="s">
        <v>107</v>
      </c>
      <c r="B98">
        <v>198</v>
      </c>
      <c r="C98">
        <v>260</v>
      </c>
      <c r="D98" s="1">
        <v>0.24</v>
      </c>
      <c r="G98" t="s">
        <v>147</v>
      </c>
      <c r="H98" t="str">
        <f t="shared" ref="H98:H113" si="5">IF(D98&lt;20%,"Low Discount",IF(D98&lt;=40%,"Medium Discount","High Discount"))</f>
        <v>Medium Discount</v>
      </c>
      <c r="I98" s="2">
        <f>Table1[[#This Row],[old price]]-Table1[[#This Row],[Current price]]</f>
        <v>62</v>
      </c>
    </row>
    <row r="99" spans="1:9" x14ac:dyDescent="0.35">
      <c r="A99" t="s">
        <v>76</v>
      </c>
      <c r="B99">
        <v>299</v>
      </c>
      <c r="C99">
        <v>384</v>
      </c>
      <c r="D99" s="1">
        <v>0.22</v>
      </c>
      <c r="G99" t="s">
        <v>147</v>
      </c>
      <c r="H99" t="str">
        <f t="shared" si="5"/>
        <v>Medium Discount</v>
      </c>
      <c r="I99" s="2">
        <f>Table1[[#This Row],[old price]]-Table1[[#This Row],[Current price]]</f>
        <v>85</v>
      </c>
    </row>
    <row r="100" spans="1:9" x14ac:dyDescent="0.35">
      <c r="A100" t="s">
        <v>92</v>
      </c>
      <c r="B100" s="2">
        <v>1468</v>
      </c>
      <c r="C100" s="2">
        <v>1699</v>
      </c>
      <c r="D100" s="1">
        <v>0.14000000000000001</v>
      </c>
      <c r="G100" t="s">
        <v>147</v>
      </c>
      <c r="H100" t="str">
        <f t="shared" si="5"/>
        <v>Low Discount</v>
      </c>
      <c r="I100" s="2">
        <f>Table1[[#This Row],[old price]]-Table1[[#This Row],[Current price]]</f>
        <v>231</v>
      </c>
    </row>
    <row r="101" spans="1:9" x14ac:dyDescent="0.35">
      <c r="A101" t="s">
        <v>89</v>
      </c>
      <c r="B101" s="2">
        <v>1466</v>
      </c>
      <c r="C101" s="2">
        <v>1699</v>
      </c>
      <c r="D101" s="1">
        <v>0.14000000000000001</v>
      </c>
      <c r="G101" t="s">
        <v>147</v>
      </c>
      <c r="H101" t="str">
        <f t="shared" si="5"/>
        <v>Low Discount</v>
      </c>
      <c r="I101" s="2">
        <f>Table1[[#This Row],[old price]]-Table1[[#This Row],[Current price]]</f>
        <v>233</v>
      </c>
    </row>
    <row r="102" spans="1:9" x14ac:dyDescent="0.35">
      <c r="A102" t="s">
        <v>91</v>
      </c>
      <c r="B102">
        <v>799</v>
      </c>
      <c r="C102">
        <v>900</v>
      </c>
      <c r="D102" s="1">
        <v>0.11</v>
      </c>
      <c r="G102" t="s">
        <v>147</v>
      </c>
      <c r="H102" t="str">
        <f t="shared" si="5"/>
        <v>Low Discount</v>
      </c>
      <c r="I102" s="2">
        <f>Table1[[#This Row],[old price]]-Table1[[#This Row],[Current price]]</f>
        <v>101</v>
      </c>
    </row>
    <row r="103" spans="1:9" x14ac:dyDescent="0.35">
      <c r="A103" t="s">
        <v>99</v>
      </c>
      <c r="B103" s="2">
        <v>1526</v>
      </c>
      <c r="C103" s="2">
        <v>1660</v>
      </c>
      <c r="D103" s="1">
        <v>0.08</v>
      </c>
      <c r="G103" t="s">
        <v>147</v>
      </c>
      <c r="H103" t="str">
        <f t="shared" si="5"/>
        <v>Low Discount</v>
      </c>
      <c r="I103" s="2">
        <f>Table1[[#This Row],[old price]]-Table1[[#This Row],[Current price]]</f>
        <v>134</v>
      </c>
    </row>
    <row r="104" spans="1:9" x14ac:dyDescent="0.35">
      <c r="A104" t="s">
        <v>102</v>
      </c>
      <c r="B104" s="2">
        <v>3546</v>
      </c>
      <c r="C104" s="2">
        <v>3699</v>
      </c>
      <c r="D104" s="1">
        <v>0.04</v>
      </c>
      <c r="G104" t="s">
        <v>147</v>
      </c>
      <c r="H104" t="str">
        <f t="shared" si="5"/>
        <v>Low Discount</v>
      </c>
      <c r="I104" s="2">
        <f>Table1[[#This Row],[old price]]-Table1[[#This Row],[Current price]]</f>
        <v>153</v>
      </c>
    </row>
    <row r="105" spans="1:9" x14ac:dyDescent="0.35">
      <c r="A105" t="s">
        <v>85</v>
      </c>
      <c r="B105" s="2">
        <v>1732</v>
      </c>
      <c r="C105" s="2">
        <v>1799</v>
      </c>
      <c r="D105" s="1">
        <v>0.04</v>
      </c>
      <c r="G105" t="s">
        <v>147</v>
      </c>
      <c r="H105" t="str">
        <f t="shared" si="5"/>
        <v>Low Discount</v>
      </c>
      <c r="I105" s="2">
        <f>Table1[[#This Row],[old price]]-Table1[[#This Row],[Current price]]</f>
        <v>67</v>
      </c>
    </row>
    <row r="106" spans="1:9" x14ac:dyDescent="0.35">
      <c r="A106" t="s">
        <v>77</v>
      </c>
      <c r="B106" s="2">
        <v>1459</v>
      </c>
      <c r="C106" s="2">
        <v>1499</v>
      </c>
      <c r="D106" s="1">
        <v>0.03</v>
      </c>
      <c r="G106" t="s">
        <v>147</v>
      </c>
      <c r="H106" t="str">
        <f t="shared" si="5"/>
        <v>Low Discount</v>
      </c>
      <c r="I106" s="2">
        <f>Table1[[#This Row],[old price]]-Table1[[#This Row],[Current price]]</f>
        <v>40</v>
      </c>
    </row>
    <row r="107" spans="1:9" x14ac:dyDescent="0.35">
      <c r="A107" t="s">
        <v>68</v>
      </c>
      <c r="B107" s="2">
        <v>2132</v>
      </c>
      <c r="C107" s="2">
        <v>2169</v>
      </c>
      <c r="D107" s="1">
        <v>0.02</v>
      </c>
      <c r="G107" t="s">
        <v>147</v>
      </c>
      <c r="H107" t="str">
        <f t="shared" si="5"/>
        <v>Low Discount</v>
      </c>
      <c r="I107" s="2">
        <f>Table1[[#This Row],[old price]]-Table1[[#This Row],[Current price]]</f>
        <v>37</v>
      </c>
    </row>
    <row r="108" spans="1:9" x14ac:dyDescent="0.35">
      <c r="A108" t="s">
        <v>111</v>
      </c>
      <c r="B108" s="2">
        <v>1768</v>
      </c>
      <c r="C108" s="2">
        <v>1799</v>
      </c>
      <c r="D108" s="1">
        <v>0.02</v>
      </c>
      <c r="G108" t="s">
        <v>147</v>
      </c>
      <c r="H108" t="str">
        <f t="shared" si="5"/>
        <v>Low Discount</v>
      </c>
      <c r="I108" s="2">
        <f>Table1[[#This Row],[old price]]-Table1[[#This Row],[Current price]]</f>
        <v>31</v>
      </c>
    </row>
    <row r="109" spans="1:9" x14ac:dyDescent="0.35">
      <c r="A109" t="s">
        <v>88</v>
      </c>
      <c r="B109" s="2">
        <v>1666</v>
      </c>
      <c r="C109" s="2">
        <v>1699</v>
      </c>
      <c r="D109" s="1">
        <v>0.02</v>
      </c>
      <c r="G109" t="s">
        <v>147</v>
      </c>
      <c r="H109" t="str">
        <f t="shared" si="5"/>
        <v>Low Discount</v>
      </c>
      <c r="I109" s="2">
        <f>Table1[[#This Row],[old price]]-Table1[[#This Row],[Current price]]</f>
        <v>33</v>
      </c>
    </row>
    <row r="110" spans="1:9" x14ac:dyDescent="0.35">
      <c r="A110" t="s">
        <v>75</v>
      </c>
      <c r="B110" s="2">
        <v>1660</v>
      </c>
      <c r="C110" s="2">
        <v>1699</v>
      </c>
      <c r="D110" s="1">
        <v>0.02</v>
      </c>
      <c r="G110" t="s">
        <v>147</v>
      </c>
      <c r="H110" t="str">
        <f t="shared" si="5"/>
        <v>Low Discount</v>
      </c>
      <c r="I110" s="2">
        <f>Table1[[#This Row],[old price]]-Table1[[#This Row],[Current price]]</f>
        <v>39</v>
      </c>
    </row>
    <row r="111" spans="1:9" x14ac:dyDescent="0.35">
      <c r="A111" t="s">
        <v>110</v>
      </c>
      <c r="B111" s="2">
        <v>1658</v>
      </c>
      <c r="C111" s="2">
        <v>1699</v>
      </c>
      <c r="D111" s="1">
        <v>0.02</v>
      </c>
      <c r="G111" t="s">
        <v>147</v>
      </c>
      <c r="H111" t="str">
        <f t="shared" si="5"/>
        <v>Low Discount</v>
      </c>
      <c r="I111" s="2">
        <f>Table1[[#This Row],[old price]]-Table1[[#This Row],[Current price]]</f>
        <v>41</v>
      </c>
    </row>
    <row r="112" spans="1:9" x14ac:dyDescent="0.35">
      <c r="A112" t="s">
        <v>100</v>
      </c>
      <c r="B112" s="2">
        <v>1462</v>
      </c>
      <c r="C112" s="2">
        <v>1499</v>
      </c>
      <c r="D112" s="1">
        <v>0.02</v>
      </c>
      <c r="G112" t="s">
        <v>147</v>
      </c>
      <c r="H112" t="str">
        <f t="shared" si="5"/>
        <v>Low Discount</v>
      </c>
      <c r="I112" s="2">
        <f>Table1[[#This Row],[old price]]-Table1[[#This Row],[Current price]]</f>
        <v>37</v>
      </c>
    </row>
    <row r="113" spans="1:9" x14ac:dyDescent="0.35">
      <c r="A113" t="s">
        <v>106</v>
      </c>
      <c r="B113" s="2">
        <v>1875</v>
      </c>
      <c r="C113" s="2">
        <v>1899</v>
      </c>
      <c r="D113" s="1">
        <v>0.01</v>
      </c>
      <c r="G113" t="s">
        <v>147</v>
      </c>
      <c r="H113" t="str">
        <f t="shared" si="5"/>
        <v>Low Discount</v>
      </c>
      <c r="I113" s="2">
        <f>Table1[[#This Row],[old price]]-Table1[[#This Row],[Current price]]</f>
        <v>24</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89A8-49B9-4D07-AB96-B1F0D155BCD9}">
  <dimension ref="A1"/>
  <sheetViews>
    <sheetView tabSelected="1" zoomScale="90" zoomScaleNormal="90" workbookViewId="0">
      <selection activeCell="S4" sqref="S4"/>
    </sheetView>
  </sheetViews>
  <sheetFormatPr defaultRowHeight="14.5" x14ac:dyDescent="0.35"/>
  <cols>
    <col min="1"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 Category to Rating&amp;Disc</vt:lpstr>
      <vt:lpstr>Percentage Discount Vs Reviews</vt:lpstr>
      <vt:lpstr>Rating Vs No. Of Reviews</vt:lpstr>
      <vt:lpstr>High Vs Low Discount Products</vt:lpstr>
      <vt:lpstr>Excel_jumia_dataset.1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Jebotip .</cp:lastModifiedBy>
  <dcterms:created xsi:type="dcterms:W3CDTF">2026-06-12T05:33:37Z</dcterms:created>
  <dcterms:modified xsi:type="dcterms:W3CDTF">2026-06-12T11:07:33Z</dcterms:modified>
</cp:coreProperties>
</file>